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ssumptions" sheetId="2" state="visible" r:id="rId4"/>
    <sheet name="lmo_ledger" sheetId="3" state="visible" r:id="rId5"/>
    <sheet name="Funnel" sheetId="4" state="visible" r:id="rId6"/>
    <sheet name="Revenue" sheetId="5" state="visible" r:id="rId7"/>
    <sheet name="COGS" sheetId="6" state="visible" r:id="rId8"/>
    <sheet name="P&amp;L" sheetId="7" state="visible" r:id="rId9"/>
    <sheet name="Metric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<sst xmlns="http://schemas.openxmlformats.org/spreadsheetml/2006/main" count="312" uniqueCount="212">
  <si>
    <t xml:space="preserve">AuthorsLab Financial Model — Skeleton V0.1</t>
  </si>
  <si>
    <t xml:space="preserve">AL-PC-FM-001 · 2026-07-28 · AL Pricing Chat · Currency: GBP · Horizon: 36 months monthly from launch (Assumptions!B5)</t>
  </si>
  <si>
    <t xml:space="preserve">PURPOSE</t>
  </si>
  <si>
    <t xml:space="preserve">Skeleton for the one-time-$299 → subscription transition model feeding the September 2026 investment push.</t>
  </si>
  <si>
    <t xml:space="preserve">Structure: Assumptions → lmo_ledger (COGS instrument) → Funnel → Revenue → COGS → P&amp;L → Metrics.</t>
  </si>
  <si>
    <t xml:space="preserve">All placeholder values are deliberately conservative and exist to be stress-tested, not believed.</t>
  </si>
  <si>
    <t xml:space="preserve">EVIDENCE CLASSES — every input on the Assumptions tab carries one (column D), per pricing-chat protocol:</t>
  </si>
  <si>
    <t xml:space="preserve">  SOURCE — verified external research or direct site fetch. Reference in column E.</t>
  </si>
  <si>
    <t xml:space="preserve">  INSTRUMENT — to be read from lmo_ledger (live 2026-07-27). Placeholders marked PENDING until SysAdmin views arrive.</t>
  </si>
  <si>
    <t xml:space="preserve">  ASSUMPTION — modelling choice awaiting stress-test (Van Westendorp, cohort data, or Paul's decision).</t>
  </si>
  <si>
    <t xml:space="preserve">COLOUR LEGEND</t>
  </si>
  <si>
    <t xml:space="preserve">  Blue text = hardcoded input you can edit.  Black = formula (do not overwrite).  Green = pull from another tab.</t>
  </si>
  <si>
    <t xml:space="preserve">  Yellow fill = key lever or a cell awaiting real data — the cells to revisit first.</t>
  </si>
  <si>
    <t xml:space="preserve">DELIBERATE SIMPLIFICATIONS (V0.1)</t>
  </si>
  <si>
    <t xml:space="preserve">  Annual billing modelled as a blended effective monthly price (no deferred-revenue balance sheet yet).</t>
  </si>
  <si>
    <t xml:space="preserve">  Revenue recognised on closing subscribers (not mid-month average). FX static. No VAT. Opex flat.</t>
  </si>
  <si>
    <t xml:space="preserve">  One-time pass buyers are not yet flowed into subscription conversion (add in V0.2 once funnel data exists).</t>
  </si>
  <si>
    <t xml:space="preserve">  Imprint SKU is one flat £/mo unit — per-title vs per-seat structure awaits the September Jacky Klein conversation.</t>
  </si>
  <si>
    <t xml:space="preserve">PENDING INPUTS</t>
  </si>
  <si>
    <t xml:space="preserve">  1. lmo_ledger aggregate views from SysAdmin (per-station cost per full pass; non-pass cost per active author-month).</t>
  </si>
  <si>
    <t xml:space="preserve">  2. Tier decision from the options paper (prices here are the stress-test frame, not decisions).</t>
  </si>
  <si>
    <t xml:space="preserve">  3. Van Westendorp on beta cohort + waiting list → conversion and churn assumptions.</t>
  </si>
  <si>
    <t xml:space="preserve">  4. Funnel pass repricing question (verified one-time band $59.99–$147 vs current $299 — AL-PC-PBR-001 §3.4).</t>
  </si>
  <si>
    <t xml:space="preserve">Assumptions — every line carries an evidence class</t>
  </si>
  <si>
    <t xml:space="preserve">Blue = editable input. Yellow = key lever / pending instrument reading.</t>
  </si>
  <si>
    <t xml:space="preserve">Item</t>
  </si>
  <si>
    <t xml:space="preserve">Value</t>
  </si>
  <si>
    <t xml:space="preserve">Unit</t>
  </si>
  <si>
    <t xml:space="preserve">Basis</t>
  </si>
  <si>
    <t xml:space="preserve">Source / note</t>
  </si>
  <si>
    <t xml:space="preserve">GENERAL</t>
  </si>
  <si>
    <t xml:space="preserve">Model start (subscription launch)</t>
  </si>
  <si>
    <t xml:space="preserve">month</t>
  </si>
  <si>
    <t xml:space="preserve">ASSUMPTION</t>
  </si>
  <si>
    <t xml:space="preserve">Launch after Sept 2026 push + Jacky Klein demo. Edit via DATE().</t>
  </si>
  <si>
    <t xml:space="preserve">FX rate</t>
  </si>
  <si>
    <t xml:space="preserve">USD per £1</t>
  </si>
  <si>
    <t xml:space="preserve">Static convention carried from AL-SIS-PRR-001 (£19 ≈ $24). Refresh before deck.</t>
  </si>
  <si>
    <t xml:space="preserve">WRITER TIER PRICING — stress-test frame, NOT decided (options paper pending)</t>
  </si>
  <si>
    <t xml:space="preserve">Starter — monthly billed</t>
  </si>
  <si>
    <t xml:space="preserve">£/mo</t>
  </si>
  <si>
    <t xml:space="preserve">SOURCE</t>
  </si>
  <si>
    <t xml:space="preserve">AL-SIS-PRR-001 §6 range £9–12; bracket annual-equiv floor ~£8 (AL-PC-PBR-001 §1).</t>
  </si>
  <si>
    <t xml:space="preserve">Starter — annual effective</t>
  </si>
  <si>
    <t xml:space="preserve">30% annual discount; bracket norm is 17–67% (AL-PC-PBR-001 §3.2).</t>
  </si>
  <si>
    <t xml:space="preserve">Author (flagship) — monthly billed</t>
  </si>
  <si>
    <t xml:space="preserve">Paul's £19 validated in-range (AL-SIS-PRR-001 §6); DIY stack comparison ≈ $34/mo (AL-PC-PBR-001 §4).</t>
  </si>
  <si>
    <t xml:space="preserve">Author — annual effective</t>
  </si>
  <si>
    <t xml:space="preserve">~32% annual discount → sits between Grammarly ($12) and Sudowrite Pro annual ($22).</t>
  </si>
  <si>
    <t xml:space="preserve">Pro — monthly billed</t>
  </si>
  <si>
    <t xml:space="preserve">AL-SIS-PRR-001 §6 range £39–49.</t>
  </si>
  <si>
    <t xml:space="preserve">Pro — annual effective</t>
  </si>
  <si>
    <t xml:space="preserve">~31% annual discount.</t>
  </si>
  <si>
    <t xml:space="preserve">Share of subscribers on annual billing</t>
  </si>
  <si>
    <t xml:space="preserve">%</t>
  </si>
  <si>
    <t xml:space="preserve">Bracket pushes annual hard (PWA 67% discount). Test on cohort.</t>
  </si>
  <si>
    <t xml:space="preserve">Starter — blended £/mo</t>
  </si>
  <si>
    <t xml:space="preserve">formula</t>
  </si>
  <si>
    <t xml:space="preserve">Annual share × annual effective + monthly share × monthly.</t>
  </si>
  <si>
    <t xml:space="preserve">Author — blended £/mo</t>
  </si>
  <si>
    <t xml:space="preserve">Pro — blended £/mo</t>
  </si>
  <si>
    <t xml:space="preserve">One-time per-book pass</t>
  </si>
  <si>
    <t xml:space="preserve">£</t>
  </si>
  <si>
    <t xml:space="preserve">≈$150. Verified one-time band $59.99–$147 (AL-PC-PBR-001 §3.4); current $299 is 2× Atticus — repricing question open.</t>
  </si>
  <si>
    <t xml:space="preserve">Imprint SKU</t>
  </si>
  <si>
    <t xml:space="preserve">Priced against Consonance £600/mo floor (8 × £75 seats); range £250–750 (AL-SIS-PRR-001 §6).</t>
  </si>
  <si>
    <t xml:space="preserve">Grandfather price (beta cohort)</t>
  </si>
  <si>
    <t xml:space="preserve">50% of Author monthly. Deliberate grandfathering per Cursor cautionary tale (AL-SIS-PRR-001 §4). Paul to decide.</t>
  </si>
  <si>
    <t xml:space="preserve">Grandfathered beta authors</t>
  </si>
  <si>
    <t xml:space="preserve">authors</t>
  </si>
  <si>
    <t xml:space="preserve">Live base 2026-07-28: 11 authors, 8 manuscripts, 272 chapters (founding brief §2.6).</t>
  </si>
  <si>
    <t xml:space="preserve">FUNNEL — all to stress-test; no historical subscription funnel exists yet</t>
  </si>
  <si>
    <t xml:space="preserve">Site visitors, month 1</t>
  </si>
  <si>
    <t xml:space="preserve">/mo</t>
  </si>
  <si>
    <t xml:space="preserve">Placeholder. Wire to analytics when available.</t>
  </si>
  <si>
    <t xml:space="preserve">Visitor growth</t>
  </si>
  <si>
    <t xml:space="preserve">%/mo</t>
  </si>
  <si>
    <t xml:space="preserve">Compounding. Marketing-driven; see Opex.</t>
  </si>
  <si>
    <t xml:space="preserve">Visitor → free full-manuscript analysis</t>
  </si>
  <si>
    <t xml:space="preserve">Free analysis stays the top-of-funnel (site fetch 2026-07-28).</t>
  </si>
  <si>
    <t xml:space="preserve">Free analysis → paid subscription</t>
  </si>
  <si>
    <t xml:space="preserve">Key lever. Test with Van Westendorp + beta behaviour.</t>
  </si>
  <si>
    <t xml:space="preserve">New-subscriber mix — Starter</t>
  </si>
  <si>
    <t xml:space="preserve">Bimodal market: 44% of indies earn ≤$100/mo from books (AL-SIS-PRR-001 §1).</t>
  </si>
  <si>
    <t xml:space="preserve">New-subscriber mix — Author</t>
  </si>
  <si>
    <t xml:space="preserve">Flagship.</t>
  </si>
  <si>
    <t xml:space="preserve">New-subscriber mix — Pro</t>
  </si>
  <si>
    <t xml:space="preserve">One-time passes per free analysis</t>
  </si>
  <si>
    <t xml:space="preserve">Pass retained as funnel product (AL-SIS-PRR-001 §6).</t>
  </si>
  <si>
    <t xml:space="preserve">CHURN — monthly; no cohort data yet, all ASSUMPTION</t>
  </si>
  <si>
    <t xml:space="preserve">Starter churn</t>
  </si>
  <si>
    <t xml:space="preserve">Hobbyist tier churns hardest (price-sensitive bottom of bimodal market).</t>
  </si>
  <si>
    <t xml:space="preserve">Author churn</t>
  </si>
  <si>
    <t xml:space="preserve">Pro churn</t>
  </si>
  <si>
    <t xml:space="preserve">Imprint churn</t>
  </si>
  <si>
    <t xml:space="preserve">B2B annual contracts in practice; modelled monthly.</t>
  </si>
  <si>
    <t xml:space="preserve">Grandfathered cohort churn</t>
  </si>
  <si>
    <t xml:space="preserve">Committed beta users; grandfathering exists to keep this low.</t>
  </si>
  <si>
    <t xml:space="preserve">COGS — the instrument section: lines wired to lmo_ledger readings</t>
  </si>
  <si>
    <t xml:space="preserve">Cost per deep analysis pass (all stations)</t>
  </si>
  <si>
    <t xml:space="preserve">£/pass</t>
  </si>
  <si>
    <t xml:space="preserve">INSTRUMENT</t>
  </si>
  <si>
    <t xml:space="preserve">PENDING — pulls lmo_ledger tab total. Replace station placeholders with measured aggregates.</t>
  </si>
  <si>
    <t xml:space="preserve">Non-pass AI cost per active author-month</t>
  </si>
  <si>
    <t xml:space="preserve">£/author-mo</t>
  </si>
  <si>
    <t xml:space="preserve">PENDING — chat + incidental calls. SysAdmin view requested (README).</t>
  </si>
  <si>
    <t xml:space="preserve">Deep passes included — Starter</t>
  </si>
  <si>
    <t xml:space="preserve">Benchmark: PWA Chapter Critique 1/day at Premium (AL-PC-PBR-001 §3.3). Size from measured cost.</t>
  </si>
  <si>
    <t xml:space="preserve">Deep passes included — Author</t>
  </si>
  <si>
    <t xml:space="preserve">Deep passes included — Pro</t>
  </si>
  <si>
    <t xml:space="preserve">Allowance utilisation</t>
  </si>
  <si>
    <t xml:space="preserve">Share of included passes actually consumed. lmo_ledger will measure this directly.</t>
  </si>
  <si>
    <t xml:space="preserve">Infrastructure per active user</t>
  </si>
  <si>
    <t xml:space="preserve">£/user-mo</t>
  </si>
  <si>
    <t xml:space="preserve">Supabase/Vercel/n8n marginal cost.</t>
  </si>
  <si>
    <t xml:space="preserve">Payment processing</t>
  </si>
  <si>
    <t xml:space="preserve">% of revenue</t>
  </si>
  <si>
    <t xml:space="preserve">~Stripe 2.9% + fixed fees averaged.</t>
  </si>
  <si>
    <t xml:space="preserve">Imprint COGS per imprint</t>
  </si>
  <si>
    <t xml:space="preserve">PENDING — per-title passes at imprint volume; measure once first imprint live.</t>
  </si>
  <si>
    <t xml:space="preserve">OPEX — flat placeholders (V0.1)</t>
  </si>
  <si>
    <t xml:space="preserve">Team</t>
  </si>
  <si>
    <t xml:space="preserve">Founder + contract dev. Replace with hiring plan in V0.2.</t>
  </si>
  <si>
    <t xml:space="preserve">Tools &amp; hosting (fixed)</t>
  </si>
  <si>
    <t xml:space="preserve">Marketing</t>
  </si>
  <si>
    <t xml:space="preserve">Drives visitor growth; CAC on Metrics tab reads this.</t>
  </si>
  <si>
    <t xml:space="preserve">Other (legal, accounting, misc)</t>
  </si>
  <si>
    <t xml:space="preserve">lmo_ledger — COGS instrument tab</t>
  </si>
  <si>
    <t xml:space="preserve">The ledger (live 2026-07-27) records model, tokens and cost per AI call per station per author.</t>
  </si>
  <si>
    <t xml:space="preserve">Replace the yellow placeholders below with measured aggregates as the Craft Call rolls out. Ledger costs are USD — divide by Assumptions!B6.</t>
  </si>
  <si>
    <t xml:space="preserve">Station (full-manuscript deep pass)</t>
  </si>
  <si>
    <t xml:space="preserve">Cost per pass (£)</t>
  </si>
  <si>
    <t xml:space="preserve">Note</t>
  </si>
  <si>
    <t xml:space="preserve">Developmental (Alex)</t>
  </si>
  <si>
    <t xml:space="preserve">INSTRUMENT — PENDING</t>
  </si>
  <si>
    <t xml:space="preserve">First station live in Craft Call — first real readings land here</t>
  </si>
  <si>
    <t xml:space="preserve">Line (Jordan)</t>
  </si>
  <si>
    <t xml:space="preserve">Copy (Sam)</t>
  </si>
  <si>
    <t xml:space="preserve">Publishing prep</t>
  </si>
  <si>
    <t xml:space="preserve">TOTAL cost per deep pass</t>
  </si>
  <si>
    <t xml:space="preserve">Consumed by Assumptions!B42 → COGS tab.</t>
  </si>
  <si>
    <t xml:space="preserve">Views requested from SysAdmin (route via AL – System Admin):</t>
  </si>
  <si>
    <t xml:space="preserve">1. avg cost per station per full-manuscript pass (per manuscript, trailing 30d)</t>
  </si>
  <si>
    <t xml:space="preserve">2. avg non-pass AI cost per active author-month (chat + incidental calls)</t>
  </si>
  <si>
    <t xml:space="preserve">3. tokens + cost by model, monthly — for margin sensitivity to model pricing changes</t>
  </si>
  <si>
    <t xml:space="preserve">Funnel &amp; subscribers</t>
  </si>
  <si>
    <t xml:space="preserve">Month</t>
  </si>
  <si>
    <t xml:space="preserve">Period</t>
  </si>
  <si>
    <t xml:space="preserve">Site visitors</t>
  </si>
  <si>
    <t xml:space="preserve">Free full-manuscript analyses</t>
  </si>
  <si>
    <t xml:space="preserve">New paid subscribers</t>
  </si>
  <si>
    <t xml:space="preserve">  of which Starter</t>
  </si>
  <si>
    <t xml:space="preserve">  of which Author</t>
  </si>
  <si>
    <t xml:space="preserve">  of which Pro</t>
  </si>
  <si>
    <t xml:space="preserve">One-time passes sold</t>
  </si>
  <si>
    <t xml:space="preserve">STARTER — opening</t>
  </si>
  <si>
    <t xml:space="preserve">  adds</t>
  </si>
  <si>
    <t xml:space="preserve">  churned</t>
  </si>
  <si>
    <t xml:space="preserve">  closing</t>
  </si>
  <si>
    <t xml:space="preserve">AUTHOR — opening</t>
  </si>
  <si>
    <t xml:space="preserve">PRO — opening</t>
  </si>
  <si>
    <t xml:space="preserve">GRANDFATHERED — opening</t>
  </si>
  <si>
    <t xml:space="preserve">IMPRINTS — adds (input row)</t>
  </si>
  <si>
    <t xml:space="preserve">Month 3 = 1: Jacky Klein imprint (ASSUMPTION — September demo converts). Edit adds directly.</t>
  </si>
  <si>
    <t xml:space="preserve">  opening</t>
  </si>
  <si>
    <t xml:space="preserve">Total paying writers (closing)</t>
  </si>
  <si>
    <t xml:space="preserve">Total accounts incl imprints</t>
  </si>
  <si>
    <t xml:space="preserve">Revenue (GBP)</t>
  </si>
  <si>
    <t xml:space="preserve">Starter MRR</t>
  </si>
  <si>
    <t xml:space="preserve">Author MRR</t>
  </si>
  <si>
    <t xml:space="preserve">Pro MRR</t>
  </si>
  <si>
    <t xml:space="preserve">Grandfathered MRR</t>
  </si>
  <si>
    <t xml:space="preserve">Writer MRR</t>
  </si>
  <si>
    <t xml:space="preserve">Imprint MRR</t>
  </si>
  <si>
    <t xml:space="preserve">Total MRR</t>
  </si>
  <si>
    <t xml:space="preserve">One-time pass revenue</t>
  </si>
  <si>
    <t xml:space="preserve">TOTAL REVENUE</t>
  </si>
  <si>
    <t xml:space="preserve">ARR run-rate</t>
  </si>
  <si>
    <t xml:space="preserve">COGS (GBP) — deep-pass lines are INSTRUMENT lines (lmo_ledger)</t>
  </si>
  <si>
    <t xml:space="preserve">Deep passes — Starter</t>
  </si>
  <si>
    <t xml:space="preserve">Deep passes — Author</t>
  </si>
  <si>
    <t xml:space="preserve">Deep passes — Pro</t>
  </si>
  <si>
    <t xml:space="preserve">Deep passes — Grandfathered</t>
  </si>
  <si>
    <t xml:space="preserve">Total deep passes consumed</t>
  </si>
  <si>
    <t xml:space="preserve">Deep-pass AI cost  [INSTRUMENT]</t>
  </si>
  <si>
    <t xml:space="preserve">Non-pass AI cost  [INSTRUMENT]</t>
  </si>
  <si>
    <t xml:space="preserve">Infrastructure</t>
  </si>
  <si>
    <t xml:space="preserve">Imprint COGS  [INSTRUMENT]</t>
  </si>
  <si>
    <t xml:space="preserve">TOTAL COGS</t>
  </si>
  <si>
    <t xml:space="preserve">Gross profit</t>
  </si>
  <si>
    <t xml:space="preserve">Gross margin %</t>
  </si>
  <si>
    <t xml:space="preserve">P&amp;L (GBP, monthly + annual roll-up)</t>
  </si>
  <si>
    <t xml:space="preserve">Y1</t>
  </si>
  <si>
    <t xml:space="preserve">Y2</t>
  </si>
  <si>
    <t xml:space="preserve">Y3</t>
  </si>
  <si>
    <t xml:space="preserve">Total</t>
  </si>
  <si>
    <t xml:space="preserve">Revenue</t>
  </si>
  <si>
    <t xml:space="preserve">COGS</t>
  </si>
  <si>
    <t xml:space="preserve">Tools &amp; hosting</t>
  </si>
  <si>
    <t xml:space="preserve">Other</t>
  </si>
  <si>
    <t xml:space="preserve">Total opex</t>
  </si>
  <si>
    <t xml:space="preserve">EBITDA</t>
  </si>
  <si>
    <t xml:space="preserve">Cumulative EBITDA</t>
  </si>
  <si>
    <t xml:space="preserve">Metrics</t>
  </si>
  <si>
    <t xml:space="preserve">Paying writers (closing)</t>
  </si>
  <si>
    <t xml:space="preserve">Imprints (closing)</t>
  </si>
  <si>
    <t xml:space="preserve">Writer ARPU £/mo</t>
  </si>
  <si>
    <t xml:space="preserve">New paying customers (subs + passes)</t>
  </si>
  <si>
    <t xml:space="preserve">CAC £ (marketing / new paying)</t>
  </si>
  <si>
    <t xml:space="preserve">Blended writer churn %/mo</t>
  </si>
  <si>
    <t xml:space="preserve">LTV £ (ARPU × GM% / churn)</t>
  </si>
  <si>
    <t xml:space="preserve">LTV : CAC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</si>
</sst>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mmm\-yy"/>
    <numFmt numFmtId="166" formatCode="0.00"/>
    <numFmt numFmtId="167" formatCode="\£#,##0;&quot;(£&quot;#,##0\);\-"/>
    <numFmt numFmtId="168" formatCode="0.0%"/>
    <numFmt numFmtId="169" formatCode="\£#,##0.00;&quot;(£&quot;#,##0.00\);\-"/>
    <numFmt numFmtId="170" formatCode="#,##0"/>
    <numFmt numFmtId="171" formatCode="#,##0.0"/>
    <numFmt numFmtId="172" formatCode="0.0\x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8"/>
      <color rgb="FF666666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EEEEE"/>
        <bgColor rgb="FFFFFFCC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/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/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3"/>
    </row>
    <row r="18" customFormat="false" ht="15" hidden="false" customHeight="false" outlineLevel="0" collapsed="false">
      <c r="A18" s="2" t="s">
        <v>13</v>
      </c>
    </row>
    <row r="19" customFormat="false" ht="15" hidden="false" customHeight="false" outlineLevel="0" collapsed="false">
      <c r="A19" s="3" t="s">
        <v>14</v>
      </c>
    </row>
    <row r="20" customFormat="false" ht="15" hidden="false" customHeight="false" outlineLevel="0" collapsed="false">
      <c r="A20" s="3" t="s">
        <v>15</v>
      </c>
    </row>
    <row r="21" customFormat="false" ht="15" hidden="false" customHeight="false" outlineLevel="0" collapsed="false">
      <c r="A21" s="3" t="s">
        <v>16</v>
      </c>
    </row>
    <row r="22" customFormat="false" ht="15" hidden="false" customHeight="false" outlineLevel="0" collapsed="false">
      <c r="A22" s="3" t="s">
        <v>17</v>
      </c>
    </row>
    <row r="23" customFormat="false" ht="15" hidden="false" customHeight="false" outlineLevel="0" collapsed="false">
      <c r="A23" s="3"/>
    </row>
    <row r="24" customFormat="false" ht="15" hidden="false" customHeight="false" outlineLevel="0" collapsed="false">
      <c r="A24" s="2" t="s">
        <v>18</v>
      </c>
    </row>
    <row r="25" customFormat="false" ht="15" hidden="false" customHeight="false" outlineLevel="0" collapsed="false">
      <c r="A25" s="3" t="s">
        <v>19</v>
      </c>
    </row>
    <row r="26" customFormat="false" ht="15" hidden="false" customHeight="false" outlineLevel="0" collapsed="false">
      <c r="A26" s="3" t="s">
        <v>20</v>
      </c>
    </row>
    <row r="27" customFormat="false" ht="15" hidden="false" customHeight="false" outlineLevel="0" collapsed="false">
      <c r="A27" s="3" t="s">
        <v>21</v>
      </c>
    </row>
    <row r="28" customFormat="false" ht="15" hidden="false" customHeight="false" outlineLevel="0" collapsed="false">
      <c r="A28" s="3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78"/>
  </cols>
  <sheetData>
    <row r="1" customFormat="false" ht="16.15" hidden="false" customHeight="false" outlineLevel="0" collapsed="false">
      <c r="A1" s="1" t="s">
        <v>23</v>
      </c>
    </row>
    <row r="2" customFormat="false" ht="15" hidden="false" customHeight="false" outlineLevel="0" collapsed="false">
      <c r="A2" s="4" t="s">
        <v>24</v>
      </c>
    </row>
    <row r="3" customFormat="false" ht="15" hidden="false" customHeight="false" outlineLevel="0" collapsed="false">
      <c r="A3" s="5" t="s">
        <v>25</v>
      </c>
      <c r="B3" s="5" t="s">
        <v>26</v>
      </c>
      <c r="C3" s="5" t="s">
        <v>27</v>
      </c>
      <c r="D3" s="5" t="s">
        <v>28</v>
      </c>
      <c r="E3" s="5" t="s">
        <v>29</v>
      </c>
    </row>
    <row r="4" customFormat="false" ht="15" hidden="false" customHeight="false" outlineLevel="0" collapsed="false">
      <c r="A4" s="5" t="s">
        <v>30</v>
      </c>
      <c r="B4" s="6"/>
      <c r="C4" s="6"/>
      <c r="D4" s="6"/>
      <c r="E4" s="6"/>
    </row>
    <row r="5" customFormat="false" ht="15" hidden="false" customHeight="false" outlineLevel="0" collapsed="false">
      <c r="A5" s="3" t="s">
        <v>31</v>
      </c>
      <c r="B5" s="7" t="n">
        <f aca="false">DATE(2026,10,1)</f>
        <v>46296</v>
      </c>
      <c r="C5" s="3" t="s">
        <v>32</v>
      </c>
      <c r="D5" s="3" t="s">
        <v>33</v>
      </c>
      <c r="E5" s="4" t="s">
        <v>34</v>
      </c>
    </row>
    <row r="6" customFormat="false" ht="15" hidden="false" customHeight="false" outlineLevel="0" collapsed="false">
      <c r="A6" s="3" t="s">
        <v>35</v>
      </c>
      <c r="B6" s="8" t="n">
        <v>1.26</v>
      </c>
      <c r="C6" s="3" t="s">
        <v>36</v>
      </c>
      <c r="D6" s="3" t="s">
        <v>33</v>
      </c>
      <c r="E6" s="4" t="s">
        <v>37</v>
      </c>
    </row>
    <row r="8" customFormat="false" ht="15" hidden="false" customHeight="false" outlineLevel="0" collapsed="false">
      <c r="A8" s="5" t="s">
        <v>38</v>
      </c>
      <c r="B8" s="6"/>
      <c r="C8" s="6"/>
      <c r="D8" s="6"/>
      <c r="E8" s="6"/>
    </row>
    <row r="9" customFormat="false" ht="15" hidden="false" customHeight="false" outlineLevel="0" collapsed="false">
      <c r="A9" s="3" t="s">
        <v>39</v>
      </c>
      <c r="B9" s="9" t="n">
        <v>10</v>
      </c>
      <c r="C9" s="3" t="s">
        <v>40</v>
      </c>
      <c r="D9" s="2" t="s">
        <v>41</v>
      </c>
      <c r="E9" s="4" t="s">
        <v>42</v>
      </c>
    </row>
    <row r="10" customFormat="false" ht="15" hidden="false" customHeight="false" outlineLevel="0" collapsed="false">
      <c r="A10" s="3" t="s">
        <v>43</v>
      </c>
      <c r="B10" s="10" t="n">
        <v>7</v>
      </c>
      <c r="C10" s="3" t="s">
        <v>40</v>
      </c>
      <c r="D10" s="3" t="s">
        <v>33</v>
      </c>
      <c r="E10" s="4" t="s">
        <v>44</v>
      </c>
    </row>
    <row r="11" customFormat="false" ht="15" hidden="false" customHeight="false" outlineLevel="0" collapsed="false">
      <c r="A11" s="3" t="s">
        <v>45</v>
      </c>
      <c r="B11" s="9" t="n">
        <v>19</v>
      </c>
      <c r="C11" s="3" t="s">
        <v>40</v>
      </c>
      <c r="D11" s="2" t="s">
        <v>41</v>
      </c>
      <c r="E11" s="4" t="s">
        <v>46</v>
      </c>
    </row>
    <row r="12" customFormat="false" ht="15" hidden="false" customHeight="false" outlineLevel="0" collapsed="false">
      <c r="A12" s="3" t="s">
        <v>47</v>
      </c>
      <c r="B12" s="10" t="n">
        <v>13</v>
      </c>
      <c r="C12" s="3" t="s">
        <v>40</v>
      </c>
      <c r="D12" s="3" t="s">
        <v>33</v>
      </c>
      <c r="E12" s="4" t="s">
        <v>48</v>
      </c>
    </row>
    <row r="13" customFormat="false" ht="15" hidden="false" customHeight="false" outlineLevel="0" collapsed="false">
      <c r="A13" s="3" t="s">
        <v>49</v>
      </c>
      <c r="B13" s="9" t="n">
        <v>39</v>
      </c>
      <c r="C13" s="3" t="s">
        <v>40</v>
      </c>
      <c r="D13" s="2" t="s">
        <v>41</v>
      </c>
      <c r="E13" s="4" t="s">
        <v>50</v>
      </c>
    </row>
    <row r="14" customFormat="false" ht="15" hidden="false" customHeight="false" outlineLevel="0" collapsed="false">
      <c r="A14" s="3" t="s">
        <v>51</v>
      </c>
      <c r="B14" s="10" t="n">
        <v>27</v>
      </c>
      <c r="C14" s="3" t="s">
        <v>40</v>
      </c>
      <c r="D14" s="3" t="s">
        <v>33</v>
      </c>
      <c r="E14" s="4" t="s">
        <v>52</v>
      </c>
    </row>
    <row r="15" customFormat="false" ht="15" hidden="false" customHeight="false" outlineLevel="0" collapsed="false">
      <c r="A15" s="3" t="s">
        <v>53</v>
      </c>
      <c r="B15" s="11" t="n">
        <v>0.4</v>
      </c>
      <c r="C15" s="3" t="s">
        <v>54</v>
      </c>
      <c r="D15" s="3" t="s">
        <v>33</v>
      </c>
      <c r="E15" s="4" t="s">
        <v>55</v>
      </c>
    </row>
    <row r="16" customFormat="false" ht="15" hidden="false" customHeight="false" outlineLevel="0" collapsed="false">
      <c r="A16" s="3" t="s">
        <v>56</v>
      </c>
      <c r="B16" s="12" t="n">
        <f aca="false">B15*B10+(1-B15)*B9</f>
        <v>8.8</v>
      </c>
      <c r="C16" s="3" t="s">
        <v>40</v>
      </c>
      <c r="D16" s="2" t="s">
        <v>57</v>
      </c>
      <c r="E16" s="4" t="s">
        <v>58</v>
      </c>
    </row>
    <row r="17" customFormat="false" ht="15" hidden="false" customHeight="false" outlineLevel="0" collapsed="false">
      <c r="A17" s="3" t="s">
        <v>59</v>
      </c>
      <c r="B17" s="12" t="n">
        <f aca="false">B15*B12+(1-B15)*B11</f>
        <v>16.6</v>
      </c>
      <c r="C17" s="3" t="s">
        <v>40</v>
      </c>
      <c r="D17" s="2" t="s">
        <v>57</v>
      </c>
      <c r="E17" s="4"/>
    </row>
    <row r="18" customFormat="false" ht="15" hidden="false" customHeight="false" outlineLevel="0" collapsed="false">
      <c r="A18" s="3" t="s">
        <v>60</v>
      </c>
      <c r="B18" s="12" t="n">
        <f aca="false">B15*B14+(1-B15)*B13</f>
        <v>34.2</v>
      </c>
      <c r="C18" s="3" t="s">
        <v>40</v>
      </c>
      <c r="D18" s="2" t="s">
        <v>57</v>
      </c>
      <c r="E18" s="4"/>
    </row>
    <row r="19" customFormat="false" ht="15" hidden="false" customHeight="false" outlineLevel="0" collapsed="false">
      <c r="A19" s="3" t="s">
        <v>61</v>
      </c>
      <c r="B19" s="9" t="n">
        <v>119</v>
      </c>
      <c r="C19" s="3" t="s">
        <v>62</v>
      </c>
      <c r="D19" s="3" t="s">
        <v>33</v>
      </c>
      <c r="E19" s="4" t="s">
        <v>63</v>
      </c>
    </row>
    <row r="20" customFormat="false" ht="15" hidden="false" customHeight="false" outlineLevel="0" collapsed="false">
      <c r="A20" s="3" t="s">
        <v>64</v>
      </c>
      <c r="B20" s="9" t="n">
        <v>500</v>
      </c>
      <c r="C20" s="3" t="s">
        <v>40</v>
      </c>
      <c r="D20" s="2" t="s">
        <v>41</v>
      </c>
      <c r="E20" s="4" t="s">
        <v>65</v>
      </c>
    </row>
    <row r="21" customFormat="false" ht="15" hidden="false" customHeight="false" outlineLevel="0" collapsed="false">
      <c r="A21" s="3" t="s">
        <v>66</v>
      </c>
      <c r="B21" s="13" t="n">
        <v>9.5</v>
      </c>
      <c r="C21" s="3" t="s">
        <v>40</v>
      </c>
      <c r="D21" s="3" t="s">
        <v>33</v>
      </c>
      <c r="E21" s="4" t="s">
        <v>67</v>
      </c>
    </row>
    <row r="22" customFormat="false" ht="15" hidden="false" customHeight="false" outlineLevel="0" collapsed="false">
      <c r="A22" s="3" t="s">
        <v>68</v>
      </c>
      <c r="B22" s="14" t="n">
        <v>11</v>
      </c>
      <c r="C22" s="3" t="s">
        <v>69</v>
      </c>
      <c r="D22" s="2" t="s">
        <v>41</v>
      </c>
      <c r="E22" s="4" t="s">
        <v>70</v>
      </c>
    </row>
    <row r="24" customFormat="false" ht="15" hidden="false" customHeight="false" outlineLevel="0" collapsed="false">
      <c r="A24" s="5" t="s">
        <v>71</v>
      </c>
      <c r="B24" s="6"/>
      <c r="C24" s="6"/>
      <c r="D24" s="6"/>
      <c r="E24" s="6"/>
    </row>
    <row r="25" customFormat="false" ht="15" hidden="false" customHeight="false" outlineLevel="0" collapsed="false">
      <c r="A25" s="3" t="s">
        <v>72</v>
      </c>
      <c r="B25" s="14" t="n">
        <v>2000</v>
      </c>
      <c r="C25" s="3" t="s">
        <v>73</v>
      </c>
      <c r="D25" s="3" t="s">
        <v>33</v>
      </c>
      <c r="E25" s="4" t="s">
        <v>74</v>
      </c>
    </row>
    <row r="26" customFormat="false" ht="15" hidden="false" customHeight="false" outlineLevel="0" collapsed="false">
      <c r="A26" s="3" t="s">
        <v>75</v>
      </c>
      <c r="B26" s="11" t="n">
        <v>0.1</v>
      </c>
      <c r="C26" s="3" t="s">
        <v>76</v>
      </c>
      <c r="D26" s="3" t="s">
        <v>33</v>
      </c>
      <c r="E26" s="4" t="s">
        <v>77</v>
      </c>
    </row>
    <row r="27" customFormat="false" ht="15" hidden="false" customHeight="false" outlineLevel="0" collapsed="false">
      <c r="A27" s="3" t="s">
        <v>78</v>
      </c>
      <c r="B27" s="11" t="n">
        <v>0.05</v>
      </c>
      <c r="C27" s="3" t="s">
        <v>54</v>
      </c>
      <c r="D27" s="3" t="s">
        <v>33</v>
      </c>
      <c r="E27" s="4" t="s">
        <v>79</v>
      </c>
    </row>
    <row r="28" customFormat="false" ht="15" hidden="false" customHeight="false" outlineLevel="0" collapsed="false">
      <c r="A28" s="3" t="s">
        <v>80</v>
      </c>
      <c r="B28" s="15" t="n">
        <v>0.08</v>
      </c>
      <c r="C28" s="3" t="s">
        <v>54</v>
      </c>
      <c r="D28" s="3" t="s">
        <v>33</v>
      </c>
      <c r="E28" s="4" t="s">
        <v>81</v>
      </c>
    </row>
    <row r="29" customFormat="false" ht="15" hidden="false" customHeight="false" outlineLevel="0" collapsed="false">
      <c r="A29" s="3" t="s">
        <v>82</v>
      </c>
      <c r="B29" s="11" t="n">
        <v>0.4</v>
      </c>
      <c r="C29" s="3" t="s">
        <v>54</v>
      </c>
      <c r="D29" s="3" t="s">
        <v>33</v>
      </c>
      <c r="E29" s="4" t="s">
        <v>83</v>
      </c>
    </row>
    <row r="30" customFormat="false" ht="15" hidden="false" customHeight="false" outlineLevel="0" collapsed="false">
      <c r="A30" s="3" t="s">
        <v>84</v>
      </c>
      <c r="B30" s="11" t="n">
        <v>0.45</v>
      </c>
      <c r="C30" s="3" t="s">
        <v>54</v>
      </c>
      <c r="D30" s="3" t="s">
        <v>33</v>
      </c>
      <c r="E30" s="4" t="s">
        <v>85</v>
      </c>
    </row>
    <row r="31" customFormat="false" ht="15" hidden="false" customHeight="false" outlineLevel="0" collapsed="false">
      <c r="A31" s="3" t="s">
        <v>86</v>
      </c>
      <c r="B31" s="11" t="n">
        <v>0.15</v>
      </c>
      <c r="C31" s="3" t="s">
        <v>54</v>
      </c>
      <c r="D31" s="3" t="s">
        <v>33</v>
      </c>
      <c r="E31" s="4"/>
    </row>
    <row r="32" customFormat="false" ht="15" hidden="false" customHeight="false" outlineLevel="0" collapsed="false">
      <c r="A32" s="3" t="s">
        <v>87</v>
      </c>
      <c r="B32" s="11" t="n">
        <v>0.02</v>
      </c>
      <c r="C32" s="3" t="s">
        <v>54</v>
      </c>
      <c r="D32" s="3" t="s">
        <v>33</v>
      </c>
      <c r="E32" s="4" t="s">
        <v>88</v>
      </c>
    </row>
    <row r="34" customFormat="false" ht="15" hidden="false" customHeight="false" outlineLevel="0" collapsed="false">
      <c r="A34" s="5" t="s">
        <v>89</v>
      </c>
      <c r="B34" s="6"/>
      <c r="C34" s="6"/>
      <c r="D34" s="6"/>
      <c r="E34" s="6"/>
    </row>
    <row r="35" customFormat="false" ht="15" hidden="false" customHeight="false" outlineLevel="0" collapsed="false">
      <c r="A35" s="3" t="s">
        <v>90</v>
      </c>
      <c r="B35" s="15" t="n">
        <v>0.08</v>
      </c>
      <c r="C35" s="3" t="s">
        <v>76</v>
      </c>
      <c r="D35" s="3" t="s">
        <v>33</v>
      </c>
      <c r="E35" s="4" t="s">
        <v>91</v>
      </c>
    </row>
    <row r="36" customFormat="false" ht="15" hidden="false" customHeight="false" outlineLevel="0" collapsed="false">
      <c r="A36" s="3" t="s">
        <v>92</v>
      </c>
      <c r="B36" s="15" t="n">
        <v>0.05</v>
      </c>
      <c r="C36" s="3" t="s">
        <v>76</v>
      </c>
      <c r="D36" s="3" t="s">
        <v>33</v>
      </c>
      <c r="E36" s="4"/>
    </row>
    <row r="37" customFormat="false" ht="15" hidden="false" customHeight="false" outlineLevel="0" collapsed="false">
      <c r="A37" s="3" t="s">
        <v>93</v>
      </c>
      <c r="B37" s="11" t="n">
        <v>0.03</v>
      </c>
      <c r="C37" s="3" t="s">
        <v>76</v>
      </c>
      <c r="D37" s="3" t="s">
        <v>33</v>
      </c>
      <c r="E37" s="4"/>
    </row>
    <row r="38" customFormat="false" ht="15" hidden="false" customHeight="false" outlineLevel="0" collapsed="false">
      <c r="A38" s="3" t="s">
        <v>94</v>
      </c>
      <c r="B38" s="11" t="n">
        <v>0.01</v>
      </c>
      <c r="C38" s="3" t="s">
        <v>76</v>
      </c>
      <c r="D38" s="3" t="s">
        <v>33</v>
      </c>
      <c r="E38" s="4" t="s">
        <v>95</v>
      </c>
    </row>
    <row r="39" customFormat="false" ht="15" hidden="false" customHeight="false" outlineLevel="0" collapsed="false">
      <c r="A39" s="3" t="s">
        <v>96</v>
      </c>
      <c r="B39" s="11" t="n">
        <v>0.03</v>
      </c>
      <c r="C39" s="3" t="s">
        <v>76</v>
      </c>
      <c r="D39" s="3" t="s">
        <v>33</v>
      </c>
      <c r="E39" s="4" t="s">
        <v>97</v>
      </c>
    </row>
    <row r="41" customFormat="false" ht="15" hidden="false" customHeight="false" outlineLevel="0" collapsed="false">
      <c r="A41" s="5" t="s">
        <v>98</v>
      </c>
      <c r="B41" s="6"/>
      <c r="C41" s="6"/>
      <c r="D41" s="6"/>
      <c r="E41" s="6"/>
    </row>
    <row r="42" customFormat="false" ht="15" hidden="false" customHeight="false" outlineLevel="0" collapsed="false">
      <c r="A42" s="3" t="s">
        <v>99</v>
      </c>
      <c r="B42" s="16" t="n">
        <f aca="false">lmo_ledger!B13</f>
        <v>3</v>
      </c>
      <c r="C42" s="3" t="s">
        <v>100</v>
      </c>
      <c r="D42" s="2" t="s">
        <v>101</v>
      </c>
      <c r="E42" s="4" t="s">
        <v>102</v>
      </c>
    </row>
    <row r="43" customFormat="false" ht="15" hidden="false" customHeight="false" outlineLevel="0" collapsed="false">
      <c r="A43" s="3" t="s">
        <v>103</v>
      </c>
      <c r="B43" s="13" t="n">
        <v>1.5</v>
      </c>
      <c r="C43" s="3" t="s">
        <v>104</v>
      </c>
      <c r="D43" s="2" t="s">
        <v>101</v>
      </c>
      <c r="E43" s="4" t="s">
        <v>105</v>
      </c>
    </row>
    <row r="44" customFormat="false" ht="15" hidden="false" customHeight="false" outlineLevel="0" collapsed="false">
      <c r="A44" s="3" t="s">
        <v>106</v>
      </c>
      <c r="B44" s="14" t="n">
        <v>1</v>
      </c>
      <c r="C44" s="3" t="s">
        <v>73</v>
      </c>
      <c r="D44" s="3" t="s">
        <v>33</v>
      </c>
      <c r="E44" s="4" t="s">
        <v>107</v>
      </c>
    </row>
    <row r="45" customFormat="false" ht="15" hidden="false" customHeight="false" outlineLevel="0" collapsed="false">
      <c r="A45" s="3" t="s">
        <v>108</v>
      </c>
      <c r="B45" s="14" t="n">
        <v>4</v>
      </c>
      <c r="C45" s="3" t="s">
        <v>73</v>
      </c>
      <c r="D45" s="3" t="s">
        <v>33</v>
      </c>
      <c r="E45" s="4"/>
    </row>
    <row r="46" customFormat="false" ht="15" hidden="false" customHeight="false" outlineLevel="0" collapsed="false">
      <c r="A46" s="3" t="s">
        <v>109</v>
      </c>
      <c r="B46" s="14" t="n">
        <v>10</v>
      </c>
      <c r="C46" s="3" t="s">
        <v>73</v>
      </c>
      <c r="D46" s="3" t="s">
        <v>33</v>
      </c>
      <c r="E46" s="4"/>
    </row>
    <row r="47" customFormat="false" ht="15" hidden="false" customHeight="false" outlineLevel="0" collapsed="false">
      <c r="A47" s="3" t="s">
        <v>110</v>
      </c>
      <c r="B47" s="15" t="n">
        <v>0.6</v>
      </c>
      <c r="C47" s="3" t="s">
        <v>54</v>
      </c>
      <c r="D47" s="3" t="s">
        <v>33</v>
      </c>
      <c r="E47" s="4" t="s">
        <v>111</v>
      </c>
    </row>
    <row r="48" customFormat="false" ht="15" hidden="false" customHeight="false" outlineLevel="0" collapsed="false">
      <c r="A48" s="3" t="s">
        <v>112</v>
      </c>
      <c r="B48" s="17" t="n">
        <v>0.3</v>
      </c>
      <c r="C48" s="3" t="s">
        <v>113</v>
      </c>
      <c r="D48" s="3" t="s">
        <v>33</v>
      </c>
      <c r="E48" s="4" t="s">
        <v>114</v>
      </c>
    </row>
    <row r="49" customFormat="false" ht="15" hidden="false" customHeight="false" outlineLevel="0" collapsed="false">
      <c r="A49" s="3" t="s">
        <v>115</v>
      </c>
      <c r="B49" s="11" t="n">
        <v>0.032</v>
      </c>
      <c r="C49" s="3" t="s">
        <v>116</v>
      </c>
      <c r="D49" s="3" t="s">
        <v>33</v>
      </c>
      <c r="E49" s="4" t="s">
        <v>117</v>
      </c>
    </row>
    <row r="50" customFormat="false" ht="15" hidden="false" customHeight="false" outlineLevel="0" collapsed="false">
      <c r="A50" s="3" t="s">
        <v>118</v>
      </c>
      <c r="B50" s="9" t="n">
        <v>60</v>
      </c>
      <c r="C50" s="3" t="s">
        <v>40</v>
      </c>
      <c r="D50" s="2" t="s">
        <v>101</v>
      </c>
      <c r="E50" s="4" t="s">
        <v>119</v>
      </c>
    </row>
    <row r="52" customFormat="false" ht="15" hidden="false" customHeight="false" outlineLevel="0" collapsed="false">
      <c r="A52" s="5" t="s">
        <v>120</v>
      </c>
      <c r="B52" s="6"/>
      <c r="C52" s="6"/>
      <c r="D52" s="6"/>
      <c r="E52" s="6"/>
    </row>
    <row r="53" customFormat="false" ht="15" hidden="false" customHeight="false" outlineLevel="0" collapsed="false">
      <c r="A53" s="3" t="s">
        <v>121</v>
      </c>
      <c r="B53" s="10" t="n">
        <v>8000</v>
      </c>
      <c r="C53" s="3" t="s">
        <v>40</v>
      </c>
      <c r="D53" s="3" t="s">
        <v>33</v>
      </c>
      <c r="E53" s="4" t="s">
        <v>122</v>
      </c>
    </row>
    <row r="54" customFormat="false" ht="15" hidden="false" customHeight="false" outlineLevel="0" collapsed="false">
      <c r="A54" s="3" t="s">
        <v>123</v>
      </c>
      <c r="B54" s="10" t="n">
        <v>500</v>
      </c>
      <c r="C54" s="3" t="s">
        <v>40</v>
      </c>
      <c r="D54" s="3" t="s">
        <v>33</v>
      </c>
      <c r="E54" s="4"/>
    </row>
    <row r="55" customFormat="false" ht="15" hidden="false" customHeight="false" outlineLevel="0" collapsed="false">
      <c r="A55" s="3" t="s">
        <v>124</v>
      </c>
      <c r="B55" s="10" t="n">
        <v>1500</v>
      </c>
      <c r="C55" s="3" t="s">
        <v>40</v>
      </c>
      <c r="D55" s="3" t="s">
        <v>33</v>
      </c>
      <c r="E55" s="4" t="s">
        <v>125</v>
      </c>
    </row>
    <row r="56" customFormat="false" ht="15" hidden="false" customHeight="false" outlineLevel="0" collapsed="false">
      <c r="A56" s="3" t="s">
        <v>126</v>
      </c>
      <c r="B56" s="10" t="n">
        <v>500</v>
      </c>
      <c r="C56" s="3" t="s">
        <v>40</v>
      </c>
      <c r="D56" s="3" t="s">
        <v>33</v>
      </c>
      <c r="E56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70"/>
  </cols>
  <sheetData>
    <row r="1" customFormat="false" ht="16.15" hidden="false" customHeight="false" outlineLevel="0" collapsed="false">
      <c r="A1" s="1" t="s">
        <v>127</v>
      </c>
    </row>
    <row r="2" customFormat="false" ht="15" hidden="false" customHeight="false" outlineLevel="0" collapsed="false">
      <c r="A2" s="4" t="s">
        <v>128</v>
      </c>
    </row>
    <row r="3" customFormat="false" ht="15" hidden="false" customHeight="false" outlineLevel="0" collapsed="false">
      <c r="A3" s="4" t="s">
        <v>129</v>
      </c>
    </row>
    <row r="5" customFormat="false" ht="15" hidden="false" customHeight="false" outlineLevel="0" collapsed="false">
      <c r="A5" s="5" t="s">
        <v>130</v>
      </c>
      <c r="B5" s="5" t="s">
        <v>131</v>
      </c>
      <c r="C5" s="5" t="s">
        <v>28</v>
      </c>
      <c r="D5" s="5" t="s">
        <v>132</v>
      </c>
    </row>
    <row r="6" customFormat="false" ht="15" hidden="false" customHeight="false" outlineLevel="0" collapsed="false">
      <c r="A6" s="3" t="s">
        <v>133</v>
      </c>
      <c r="B6" s="13" t="n">
        <v>0.9</v>
      </c>
      <c r="C6" s="3" t="s">
        <v>134</v>
      </c>
      <c r="D6" s="4" t="s">
        <v>135</v>
      </c>
    </row>
    <row r="7" customFormat="false" ht="15" hidden="false" customHeight="false" outlineLevel="0" collapsed="false">
      <c r="A7" s="3" t="s">
        <v>136</v>
      </c>
      <c r="B7" s="13" t="n">
        <v>0.7</v>
      </c>
      <c r="C7" s="3" t="s">
        <v>134</v>
      </c>
      <c r="D7" s="4"/>
    </row>
    <row r="8" customFormat="false" ht="15" hidden="false" customHeight="false" outlineLevel="0" collapsed="false">
      <c r="A8" s="3" t="s">
        <v>137</v>
      </c>
      <c r="B8" s="13" t="n">
        <v>0.6</v>
      </c>
      <c r="C8" s="3" t="s">
        <v>134</v>
      </c>
      <c r="D8" s="4"/>
    </row>
    <row r="9" customFormat="false" ht="15" hidden="false" customHeight="false" outlineLevel="0" collapsed="false">
      <c r="A9" s="3" t="s">
        <v>138</v>
      </c>
      <c r="B9" s="13" t="n">
        <v>0.4</v>
      </c>
      <c r="C9" s="3" t="s">
        <v>134</v>
      </c>
      <c r="D9" s="4"/>
    </row>
    <row r="10" customFormat="false" ht="15" hidden="false" customHeight="false" outlineLevel="0" collapsed="false">
      <c r="A10" s="3" t="s">
        <v>124</v>
      </c>
      <c r="B10" s="13" t="n">
        <v>0.4</v>
      </c>
      <c r="C10" s="3" t="s">
        <v>134</v>
      </c>
      <c r="D10" s="4"/>
    </row>
    <row r="12" customFormat="false" ht="15" hidden="false" customHeight="false" outlineLevel="0" collapsed="false">
      <c r="A12" s="3"/>
    </row>
    <row r="13" customFormat="false" ht="15" hidden="false" customHeight="false" outlineLevel="0" collapsed="false">
      <c r="A13" s="2" t="s">
        <v>139</v>
      </c>
      <c r="B13" s="18" t="n">
        <f aca="false">SUM(B6:B10)</f>
        <v>3</v>
      </c>
      <c r="D13" s="4" t="s">
        <v>140</v>
      </c>
    </row>
    <row r="15" customFormat="false" ht="15" hidden="false" customHeight="false" outlineLevel="0" collapsed="false">
      <c r="A15" s="2" t="s">
        <v>141</v>
      </c>
    </row>
    <row r="16" customFormat="false" ht="15" hidden="false" customHeight="false" outlineLevel="0" collapsed="false">
      <c r="A16" s="3" t="s">
        <v>142</v>
      </c>
    </row>
    <row r="17" customFormat="false" ht="15" hidden="false" customHeight="false" outlineLevel="0" collapsed="false">
      <c r="A17" s="3" t="s">
        <v>143</v>
      </c>
    </row>
    <row r="18" customFormat="false" ht="15" hidden="false" customHeight="false" outlineLevel="0" collapsed="false">
      <c r="A18" s="3" t="s">
        <v>144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N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8" min="3" style="0" width="9"/>
  </cols>
  <sheetData>
    <row r="1" customFormat="false" ht="16.15" hidden="false" customHeight="false" outlineLevel="0" collapsed="false">
      <c r="B1" s="1" t="s">
        <v>145</v>
      </c>
    </row>
    <row r="3" customFormat="false" ht="15" hidden="false" customHeight="false" outlineLevel="0" collapsed="false">
      <c r="B3" s="2" t="s">
        <v>146</v>
      </c>
      <c r="C3" s="19" t="n">
        <v>1</v>
      </c>
      <c r="D3" s="19" t="n">
        <v>2</v>
      </c>
      <c r="E3" s="19" t="n">
        <v>3</v>
      </c>
      <c r="F3" s="19" t="n">
        <v>4</v>
      </c>
      <c r="G3" s="19" t="n">
        <v>5</v>
      </c>
      <c r="H3" s="19" t="n">
        <v>6</v>
      </c>
      <c r="I3" s="19" t="n">
        <v>7</v>
      </c>
      <c r="J3" s="19" t="n">
        <v>8</v>
      </c>
      <c r="K3" s="19" t="n">
        <v>9</v>
      </c>
      <c r="L3" s="19" t="n">
        <v>10</v>
      </c>
      <c r="M3" s="19" t="n">
        <v>11</v>
      </c>
      <c r="N3" s="19" t="n">
        <v>12</v>
      </c>
      <c r="O3" s="19" t="n">
        <v>13</v>
      </c>
      <c r="P3" s="19" t="n">
        <v>14</v>
      </c>
      <c r="Q3" s="19" t="n">
        <v>15</v>
      </c>
      <c r="R3" s="19" t="n">
        <v>16</v>
      </c>
      <c r="S3" s="19" t="n">
        <v>17</v>
      </c>
      <c r="T3" s="19" t="n">
        <v>18</v>
      </c>
      <c r="U3" s="19" t="n">
        <v>19</v>
      </c>
      <c r="V3" s="19" t="n">
        <v>20</v>
      </c>
      <c r="W3" s="19" t="n">
        <v>21</v>
      </c>
      <c r="X3" s="19" t="n">
        <v>22</v>
      </c>
      <c r="Y3" s="19" t="n">
        <v>23</v>
      </c>
      <c r="Z3" s="19" t="n">
        <v>24</v>
      </c>
      <c r="AA3" s="19" t="n">
        <v>25</v>
      </c>
      <c r="AB3" s="19" t="n">
        <v>26</v>
      </c>
      <c r="AC3" s="19" t="n">
        <v>27</v>
      </c>
      <c r="AD3" s="19" t="n">
        <v>28</v>
      </c>
      <c r="AE3" s="19" t="n">
        <v>29</v>
      </c>
      <c r="AF3" s="19" t="n">
        <v>30</v>
      </c>
      <c r="AG3" s="19" t="n">
        <v>31</v>
      </c>
      <c r="AH3" s="19" t="n">
        <v>32</v>
      </c>
      <c r="AI3" s="19" t="n">
        <v>33</v>
      </c>
      <c r="AJ3" s="19" t="n">
        <v>34</v>
      </c>
      <c r="AK3" s="19" t="n">
        <v>35</v>
      </c>
      <c r="AL3" s="19" t="n">
        <v>36</v>
      </c>
    </row>
    <row r="4" customFormat="false" ht="15" hidden="false" customHeight="false" outlineLevel="0" collapsed="false">
      <c r="B4" s="2" t="s">
        <v>147</v>
      </c>
      <c r="C4" s="20" t="n">
        <f aca="false">Assumptions!$B$5</f>
        <v>46296</v>
      </c>
      <c r="D4" s="21" t="n">
        <f aca="false">EDATE(C4,1)</f>
        <v>46327</v>
      </c>
      <c r="E4" s="21" t="n">
        <f aca="false">EDATE(D4,1)</f>
        <v>46357</v>
      </c>
      <c r="F4" s="21" t="n">
        <f aca="false">EDATE(E4,1)</f>
        <v>46388</v>
      </c>
      <c r="G4" s="21" t="n">
        <f aca="false">EDATE(F4,1)</f>
        <v>46419</v>
      </c>
      <c r="H4" s="21" t="n">
        <f aca="false">EDATE(G4,1)</f>
        <v>46447</v>
      </c>
      <c r="I4" s="21" t="n">
        <f aca="false">EDATE(H4,1)</f>
        <v>46478</v>
      </c>
      <c r="J4" s="21" t="n">
        <f aca="false">EDATE(I4,1)</f>
        <v>46508</v>
      </c>
      <c r="K4" s="21" t="n">
        <f aca="false">EDATE(J4,1)</f>
        <v>46539</v>
      </c>
      <c r="L4" s="21" t="n">
        <f aca="false">EDATE(K4,1)</f>
        <v>46569</v>
      </c>
      <c r="M4" s="21" t="n">
        <f aca="false">EDATE(L4,1)</f>
        <v>46600</v>
      </c>
      <c r="N4" s="21" t="n">
        <f aca="false">EDATE(M4,1)</f>
        <v>46631</v>
      </c>
      <c r="O4" s="21" t="n">
        <f aca="false">EDATE(N4,1)</f>
        <v>46661</v>
      </c>
      <c r="P4" s="21" t="n">
        <f aca="false">EDATE(O4,1)</f>
        <v>46692</v>
      </c>
      <c r="Q4" s="21" t="n">
        <f aca="false">EDATE(P4,1)</f>
        <v>46722</v>
      </c>
      <c r="R4" s="21" t="n">
        <f aca="false">EDATE(Q4,1)</f>
        <v>46753</v>
      </c>
      <c r="S4" s="21" t="n">
        <f aca="false">EDATE(R4,1)</f>
        <v>46784</v>
      </c>
      <c r="T4" s="21" t="n">
        <f aca="false">EDATE(S4,1)</f>
        <v>46813</v>
      </c>
      <c r="U4" s="21" t="n">
        <f aca="false">EDATE(T4,1)</f>
        <v>46844</v>
      </c>
      <c r="V4" s="21" t="n">
        <f aca="false">EDATE(U4,1)</f>
        <v>46874</v>
      </c>
      <c r="W4" s="21" t="n">
        <f aca="false">EDATE(V4,1)</f>
        <v>46905</v>
      </c>
      <c r="X4" s="21" t="n">
        <f aca="false">EDATE(W4,1)</f>
        <v>46935</v>
      </c>
      <c r="Y4" s="21" t="n">
        <f aca="false">EDATE(X4,1)</f>
        <v>46966</v>
      </c>
      <c r="Z4" s="21" t="n">
        <f aca="false">EDATE(Y4,1)</f>
        <v>46997</v>
      </c>
      <c r="AA4" s="21" t="n">
        <f aca="false">EDATE(Z4,1)</f>
        <v>47027</v>
      </c>
      <c r="AB4" s="21" t="n">
        <f aca="false">EDATE(AA4,1)</f>
        <v>47058</v>
      </c>
      <c r="AC4" s="21" t="n">
        <f aca="false">EDATE(AB4,1)</f>
        <v>47088</v>
      </c>
      <c r="AD4" s="21" t="n">
        <f aca="false">EDATE(AC4,1)</f>
        <v>47119</v>
      </c>
      <c r="AE4" s="21" t="n">
        <f aca="false">EDATE(AD4,1)</f>
        <v>47150</v>
      </c>
      <c r="AF4" s="21" t="n">
        <f aca="false">EDATE(AE4,1)</f>
        <v>47178</v>
      </c>
      <c r="AG4" s="21" t="n">
        <f aca="false">EDATE(AF4,1)</f>
        <v>47209</v>
      </c>
      <c r="AH4" s="21" t="n">
        <f aca="false">EDATE(AG4,1)</f>
        <v>47239</v>
      </c>
      <c r="AI4" s="21" t="n">
        <f aca="false">EDATE(AH4,1)</f>
        <v>47270</v>
      </c>
      <c r="AJ4" s="21" t="n">
        <f aca="false">EDATE(AI4,1)</f>
        <v>47300</v>
      </c>
      <c r="AK4" s="21" t="n">
        <f aca="false">EDATE(AJ4,1)</f>
        <v>47331</v>
      </c>
      <c r="AL4" s="21" t="n">
        <f aca="false">EDATE(AK4,1)</f>
        <v>47362</v>
      </c>
    </row>
    <row r="6" customFormat="false" ht="15" hidden="false" customHeight="false" outlineLevel="0" collapsed="false">
      <c r="B6" s="3" t="s">
        <v>148</v>
      </c>
      <c r="C6" s="22" t="n">
        <f aca="false">Assumptions!$B$25</f>
        <v>2000</v>
      </c>
      <c r="D6" s="23" t="n">
        <f aca="false">C6*(1+Assumptions!$B$26)</f>
        <v>2200</v>
      </c>
      <c r="E6" s="23" t="n">
        <f aca="false">D6*(1+Assumptions!$B$26)</f>
        <v>2420</v>
      </c>
      <c r="F6" s="23" t="n">
        <f aca="false">E6*(1+Assumptions!$B$26)</f>
        <v>2662</v>
      </c>
      <c r="G6" s="23" t="n">
        <f aca="false">F6*(1+Assumptions!$B$26)</f>
        <v>2928.2</v>
      </c>
      <c r="H6" s="23" t="n">
        <f aca="false">G6*(1+Assumptions!$B$26)</f>
        <v>3221.02</v>
      </c>
      <c r="I6" s="23" t="n">
        <f aca="false">H6*(1+Assumptions!$B$26)</f>
        <v>3543.122</v>
      </c>
      <c r="J6" s="23" t="n">
        <f aca="false">I6*(1+Assumptions!$B$26)</f>
        <v>3897.4342</v>
      </c>
      <c r="K6" s="23" t="n">
        <f aca="false">J6*(1+Assumptions!$B$26)</f>
        <v>4287.17762</v>
      </c>
      <c r="L6" s="23" t="n">
        <f aca="false">K6*(1+Assumptions!$B$26)</f>
        <v>4715.895382</v>
      </c>
      <c r="M6" s="23" t="n">
        <f aca="false">L6*(1+Assumptions!$B$26)</f>
        <v>5187.4849202</v>
      </c>
      <c r="N6" s="23" t="n">
        <f aca="false">M6*(1+Assumptions!$B$26)</f>
        <v>5706.23341222</v>
      </c>
      <c r="O6" s="23" t="n">
        <f aca="false">N6*(1+Assumptions!$B$26)</f>
        <v>6276.856753442</v>
      </c>
      <c r="P6" s="23" t="n">
        <f aca="false">O6*(1+Assumptions!$B$26)</f>
        <v>6904.5424287862</v>
      </c>
      <c r="Q6" s="23" t="n">
        <f aca="false">P6*(1+Assumptions!$B$26)</f>
        <v>7594.99667166483</v>
      </c>
      <c r="R6" s="23" t="n">
        <f aca="false">Q6*(1+Assumptions!$B$26)</f>
        <v>8354.49633883131</v>
      </c>
      <c r="S6" s="23" t="n">
        <f aca="false">R6*(1+Assumptions!$B$26)</f>
        <v>9189.94597271444</v>
      </c>
      <c r="T6" s="23" t="n">
        <f aca="false">S6*(1+Assumptions!$B$26)</f>
        <v>10108.9405699859</v>
      </c>
      <c r="U6" s="23" t="n">
        <f aca="false">T6*(1+Assumptions!$B$26)</f>
        <v>11119.8346269845</v>
      </c>
      <c r="V6" s="23" t="n">
        <f aca="false">U6*(1+Assumptions!$B$26)</f>
        <v>12231.8180896829</v>
      </c>
      <c r="W6" s="23" t="n">
        <f aca="false">V6*(1+Assumptions!$B$26)</f>
        <v>13454.9998986512</v>
      </c>
      <c r="X6" s="23" t="n">
        <f aca="false">W6*(1+Assumptions!$B$26)</f>
        <v>14800.4998885163</v>
      </c>
      <c r="Y6" s="23" t="n">
        <f aca="false">X6*(1+Assumptions!$B$26)</f>
        <v>16280.549877368</v>
      </c>
      <c r="Z6" s="23" t="n">
        <f aca="false">Y6*(1+Assumptions!$B$26)</f>
        <v>17908.6048651048</v>
      </c>
      <c r="AA6" s="23" t="n">
        <f aca="false">Z6*(1+Assumptions!$B$26)</f>
        <v>19699.4653516153</v>
      </c>
      <c r="AB6" s="23" t="n">
        <f aca="false">AA6*(1+Assumptions!$B$26)</f>
        <v>21669.4118867768</v>
      </c>
      <c r="AC6" s="23" t="n">
        <f aca="false">AB6*(1+Assumptions!$B$26)</f>
        <v>23836.3530754545</v>
      </c>
      <c r="AD6" s="23" t="n">
        <f aca="false">AC6*(1+Assumptions!$B$26)</f>
        <v>26219.9883829999</v>
      </c>
      <c r="AE6" s="23" t="n">
        <f aca="false">AD6*(1+Assumptions!$B$26)</f>
        <v>28841.9872212999</v>
      </c>
      <c r="AF6" s="23" t="n">
        <f aca="false">AE6*(1+Assumptions!$B$26)</f>
        <v>31726.1859434299</v>
      </c>
      <c r="AG6" s="23" t="n">
        <f aca="false">AF6*(1+Assumptions!$B$26)</f>
        <v>34898.8045377729</v>
      </c>
      <c r="AH6" s="23" t="n">
        <f aca="false">AG6*(1+Assumptions!$B$26)</f>
        <v>38388.6849915502</v>
      </c>
      <c r="AI6" s="23" t="n">
        <f aca="false">AH6*(1+Assumptions!$B$26)</f>
        <v>42227.5534907052</v>
      </c>
      <c r="AJ6" s="23" t="n">
        <f aca="false">AI6*(1+Assumptions!$B$26)</f>
        <v>46450.3088397757</v>
      </c>
      <c r="AK6" s="23" t="n">
        <f aca="false">AJ6*(1+Assumptions!$B$26)</f>
        <v>51095.3397237533</v>
      </c>
      <c r="AL6" s="23" t="n">
        <f aca="false">AK6*(1+Assumptions!$B$26)</f>
        <v>56204.8736961286</v>
      </c>
    </row>
    <row r="7" customFormat="false" ht="15" hidden="false" customHeight="false" outlineLevel="0" collapsed="false">
      <c r="B7" s="3" t="s">
        <v>149</v>
      </c>
      <c r="C7" s="24" t="n">
        <f aca="false">C6*Assumptions!$B$27</f>
        <v>100</v>
      </c>
      <c r="D7" s="24" t="n">
        <f aca="false">D6*Assumptions!$B$27</f>
        <v>110</v>
      </c>
      <c r="E7" s="24" t="n">
        <f aca="false">E6*Assumptions!$B$27</f>
        <v>121</v>
      </c>
      <c r="F7" s="24" t="n">
        <f aca="false">F6*Assumptions!$B$27</f>
        <v>133.1</v>
      </c>
      <c r="G7" s="24" t="n">
        <f aca="false">G6*Assumptions!$B$27</f>
        <v>146.41</v>
      </c>
      <c r="H7" s="24" t="n">
        <f aca="false">H6*Assumptions!$B$27</f>
        <v>161.051</v>
      </c>
      <c r="I7" s="24" t="n">
        <f aca="false">I6*Assumptions!$B$27</f>
        <v>177.1561</v>
      </c>
      <c r="J7" s="24" t="n">
        <f aca="false">J6*Assumptions!$B$27</f>
        <v>194.87171</v>
      </c>
      <c r="K7" s="24" t="n">
        <f aca="false">K6*Assumptions!$B$27</f>
        <v>214.358881</v>
      </c>
      <c r="L7" s="24" t="n">
        <f aca="false">L6*Assumptions!$B$27</f>
        <v>235.7947691</v>
      </c>
      <c r="M7" s="24" t="n">
        <f aca="false">M6*Assumptions!$B$27</f>
        <v>259.37424601</v>
      </c>
      <c r="N7" s="24" t="n">
        <f aca="false">N6*Assumptions!$B$27</f>
        <v>285.311670611</v>
      </c>
      <c r="O7" s="24" t="n">
        <f aca="false">O6*Assumptions!$B$27</f>
        <v>313.8428376721</v>
      </c>
      <c r="P7" s="24" t="n">
        <f aca="false">P6*Assumptions!$B$27</f>
        <v>345.22712143931</v>
      </c>
      <c r="Q7" s="24" t="n">
        <f aca="false">Q6*Assumptions!$B$27</f>
        <v>379.749833583241</v>
      </c>
      <c r="R7" s="24" t="n">
        <f aca="false">R6*Assumptions!$B$27</f>
        <v>417.724816941565</v>
      </c>
      <c r="S7" s="24" t="n">
        <f aca="false">S6*Assumptions!$B$27</f>
        <v>459.497298635722</v>
      </c>
      <c r="T7" s="24" t="n">
        <f aca="false">T6*Assumptions!$B$27</f>
        <v>505.447028499294</v>
      </c>
      <c r="U7" s="24" t="n">
        <f aca="false">U6*Assumptions!$B$27</f>
        <v>555.991731349224</v>
      </c>
      <c r="V7" s="24" t="n">
        <f aca="false">V6*Assumptions!$B$27</f>
        <v>611.590904484146</v>
      </c>
      <c r="W7" s="24" t="n">
        <f aca="false">W6*Assumptions!$B$27</f>
        <v>672.749994932561</v>
      </c>
      <c r="X7" s="24" t="n">
        <f aca="false">X6*Assumptions!$B$27</f>
        <v>740.024994425817</v>
      </c>
      <c r="Y7" s="24" t="n">
        <f aca="false">Y6*Assumptions!$B$27</f>
        <v>814.027493868399</v>
      </c>
      <c r="Z7" s="24" t="n">
        <f aca="false">Z6*Assumptions!$B$27</f>
        <v>895.430243255239</v>
      </c>
      <c r="AA7" s="24" t="n">
        <f aca="false">AA6*Assumptions!$B$27</f>
        <v>984.973267580763</v>
      </c>
      <c r="AB7" s="24" t="n">
        <f aca="false">AB6*Assumptions!$B$27</f>
        <v>1083.47059433884</v>
      </c>
      <c r="AC7" s="24" t="n">
        <f aca="false">AC6*Assumptions!$B$27</f>
        <v>1191.81765377272</v>
      </c>
      <c r="AD7" s="24" t="n">
        <f aca="false">AD6*Assumptions!$B$27</f>
        <v>1310.99941915</v>
      </c>
      <c r="AE7" s="24" t="n">
        <f aca="false">AE6*Assumptions!$B$27</f>
        <v>1442.09936106499</v>
      </c>
      <c r="AF7" s="24" t="n">
        <f aca="false">AF6*Assumptions!$B$27</f>
        <v>1586.30929717149</v>
      </c>
      <c r="AG7" s="24" t="n">
        <f aca="false">AG6*Assumptions!$B$27</f>
        <v>1744.94022688864</v>
      </c>
      <c r="AH7" s="24" t="n">
        <f aca="false">AH6*Assumptions!$B$27</f>
        <v>1919.43424957751</v>
      </c>
      <c r="AI7" s="24" t="n">
        <f aca="false">AI6*Assumptions!$B$27</f>
        <v>2111.37767453526</v>
      </c>
      <c r="AJ7" s="24" t="n">
        <f aca="false">AJ6*Assumptions!$B$27</f>
        <v>2322.51544198879</v>
      </c>
      <c r="AK7" s="24" t="n">
        <f aca="false">AK6*Assumptions!$B$27</f>
        <v>2554.76698618766</v>
      </c>
      <c r="AL7" s="24" t="n">
        <f aca="false">AL6*Assumptions!$B$27</f>
        <v>2810.24368480643</v>
      </c>
    </row>
    <row r="8" customFormat="false" ht="15" hidden="false" customHeight="false" outlineLevel="0" collapsed="false">
      <c r="B8" s="3" t="s">
        <v>150</v>
      </c>
      <c r="C8" s="24" t="n">
        <f aca="false">C7*Assumptions!$B$28</f>
        <v>8</v>
      </c>
      <c r="D8" s="24" t="n">
        <f aca="false">D7*Assumptions!$B$28</f>
        <v>8.8</v>
      </c>
      <c r="E8" s="24" t="n">
        <f aca="false">E7*Assumptions!$B$28</f>
        <v>9.68</v>
      </c>
      <c r="F8" s="24" t="n">
        <f aca="false">F7*Assumptions!$B$28</f>
        <v>10.648</v>
      </c>
      <c r="G8" s="24" t="n">
        <f aca="false">G7*Assumptions!$B$28</f>
        <v>11.7128</v>
      </c>
      <c r="H8" s="24" t="n">
        <f aca="false">H7*Assumptions!$B$28</f>
        <v>12.88408</v>
      </c>
      <c r="I8" s="24" t="n">
        <f aca="false">I7*Assumptions!$B$28</f>
        <v>14.172488</v>
      </c>
      <c r="J8" s="24" t="n">
        <f aca="false">J7*Assumptions!$B$28</f>
        <v>15.5897368</v>
      </c>
      <c r="K8" s="24" t="n">
        <f aca="false">K7*Assumptions!$B$28</f>
        <v>17.14871048</v>
      </c>
      <c r="L8" s="24" t="n">
        <f aca="false">L7*Assumptions!$B$28</f>
        <v>18.863581528</v>
      </c>
      <c r="M8" s="24" t="n">
        <f aca="false">M7*Assumptions!$B$28</f>
        <v>20.7499396808</v>
      </c>
      <c r="N8" s="24" t="n">
        <f aca="false">N7*Assumptions!$B$28</f>
        <v>22.82493364888</v>
      </c>
      <c r="O8" s="24" t="n">
        <f aca="false">O7*Assumptions!$B$28</f>
        <v>25.107427013768</v>
      </c>
      <c r="P8" s="24" t="n">
        <f aca="false">P7*Assumptions!$B$28</f>
        <v>27.6181697151448</v>
      </c>
      <c r="Q8" s="24" t="n">
        <f aca="false">Q7*Assumptions!$B$28</f>
        <v>30.3799866866593</v>
      </c>
      <c r="R8" s="24" t="n">
        <f aca="false">R7*Assumptions!$B$28</f>
        <v>33.4179853553252</v>
      </c>
      <c r="S8" s="24" t="n">
        <f aca="false">S7*Assumptions!$B$28</f>
        <v>36.7597838908578</v>
      </c>
      <c r="T8" s="24" t="n">
        <f aca="false">T7*Assumptions!$B$28</f>
        <v>40.4357622799435</v>
      </c>
      <c r="U8" s="24" t="n">
        <f aca="false">U7*Assumptions!$B$28</f>
        <v>44.4793385079379</v>
      </c>
      <c r="V8" s="24" t="n">
        <f aca="false">V7*Assumptions!$B$28</f>
        <v>48.9272723587317</v>
      </c>
      <c r="W8" s="24" t="n">
        <f aca="false">W7*Assumptions!$B$28</f>
        <v>53.8199995946049</v>
      </c>
      <c r="X8" s="24" t="n">
        <f aca="false">X7*Assumptions!$B$28</f>
        <v>59.2019995540654</v>
      </c>
      <c r="Y8" s="24" t="n">
        <f aca="false">Y7*Assumptions!$B$28</f>
        <v>65.1221995094719</v>
      </c>
      <c r="Z8" s="24" t="n">
        <f aca="false">Z7*Assumptions!$B$28</f>
        <v>71.6344194604191</v>
      </c>
      <c r="AA8" s="24" t="n">
        <f aca="false">AA7*Assumptions!$B$28</f>
        <v>78.797861406461</v>
      </c>
      <c r="AB8" s="24" t="n">
        <f aca="false">AB7*Assumptions!$B$28</f>
        <v>86.6776475471071</v>
      </c>
      <c r="AC8" s="24" t="n">
        <f aca="false">AC7*Assumptions!$B$28</f>
        <v>95.3454123018178</v>
      </c>
      <c r="AD8" s="24" t="n">
        <f aca="false">AD7*Assumptions!$B$28</f>
        <v>104.879953532</v>
      </c>
      <c r="AE8" s="24" t="n">
        <f aca="false">AE7*Assumptions!$B$28</f>
        <v>115.3679488852</v>
      </c>
      <c r="AF8" s="24" t="n">
        <f aca="false">AF7*Assumptions!$B$28</f>
        <v>126.90474377372</v>
      </c>
      <c r="AG8" s="24" t="n">
        <f aca="false">AG7*Assumptions!$B$28</f>
        <v>139.595218151092</v>
      </c>
      <c r="AH8" s="24" t="n">
        <f aca="false">AH7*Assumptions!$B$28</f>
        <v>153.554739966201</v>
      </c>
      <c r="AI8" s="24" t="n">
        <f aca="false">AI7*Assumptions!$B$28</f>
        <v>168.910213962821</v>
      </c>
      <c r="AJ8" s="24" t="n">
        <f aca="false">AJ7*Assumptions!$B$28</f>
        <v>185.801235359103</v>
      </c>
      <c r="AK8" s="24" t="n">
        <f aca="false">AK7*Assumptions!$B$28</f>
        <v>204.381358895013</v>
      </c>
      <c r="AL8" s="24" t="n">
        <f aca="false">AL7*Assumptions!$B$28</f>
        <v>224.819494784515</v>
      </c>
    </row>
    <row r="9" customFormat="false" ht="15" hidden="false" customHeight="false" outlineLevel="0" collapsed="false">
      <c r="B9" s="3" t="s">
        <v>151</v>
      </c>
      <c r="C9" s="24" t="n">
        <f aca="false">C8*Assumptions!$B$29</f>
        <v>3.2</v>
      </c>
      <c r="D9" s="24" t="n">
        <f aca="false">D8*Assumptions!$B$29</f>
        <v>3.52</v>
      </c>
      <c r="E9" s="24" t="n">
        <f aca="false">E8*Assumptions!$B$29</f>
        <v>3.872</v>
      </c>
      <c r="F9" s="24" t="n">
        <f aca="false">F8*Assumptions!$B$29</f>
        <v>4.2592</v>
      </c>
      <c r="G9" s="24" t="n">
        <f aca="false">G8*Assumptions!$B$29</f>
        <v>4.68512</v>
      </c>
      <c r="H9" s="24" t="n">
        <f aca="false">H8*Assumptions!$B$29</f>
        <v>5.153632</v>
      </c>
      <c r="I9" s="24" t="n">
        <f aca="false">I8*Assumptions!$B$29</f>
        <v>5.6689952</v>
      </c>
      <c r="J9" s="24" t="n">
        <f aca="false">J8*Assumptions!$B$29</f>
        <v>6.23589472</v>
      </c>
      <c r="K9" s="24" t="n">
        <f aca="false">K8*Assumptions!$B$29</f>
        <v>6.859484192</v>
      </c>
      <c r="L9" s="24" t="n">
        <f aca="false">L8*Assumptions!$B$29</f>
        <v>7.5454326112</v>
      </c>
      <c r="M9" s="24" t="n">
        <f aca="false">M8*Assumptions!$B$29</f>
        <v>8.29997587232001</v>
      </c>
      <c r="N9" s="24" t="n">
        <f aca="false">N8*Assumptions!$B$29</f>
        <v>9.129973459552</v>
      </c>
      <c r="O9" s="24" t="n">
        <f aca="false">O8*Assumptions!$B$29</f>
        <v>10.0429708055072</v>
      </c>
      <c r="P9" s="24" t="n">
        <f aca="false">P8*Assumptions!$B$29</f>
        <v>11.0472678860579</v>
      </c>
      <c r="Q9" s="24" t="n">
        <f aca="false">Q8*Assumptions!$B$29</f>
        <v>12.1519946746637</v>
      </c>
      <c r="R9" s="24" t="n">
        <f aca="false">R8*Assumptions!$B$29</f>
        <v>13.3671941421301</v>
      </c>
      <c r="S9" s="24" t="n">
        <f aca="false">S8*Assumptions!$B$29</f>
        <v>14.7039135563431</v>
      </c>
      <c r="T9" s="24" t="n">
        <f aca="false">T8*Assumptions!$B$29</f>
        <v>16.1743049119774</v>
      </c>
      <c r="U9" s="24" t="n">
        <f aca="false">U8*Assumptions!$B$29</f>
        <v>17.7917354031752</v>
      </c>
      <c r="V9" s="24" t="n">
        <f aca="false">V8*Assumptions!$B$29</f>
        <v>19.5709089434927</v>
      </c>
      <c r="W9" s="24" t="n">
        <f aca="false">W8*Assumptions!$B$29</f>
        <v>21.527999837842</v>
      </c>
      <c r="X9" s="24" t="n">
        <f aca="false">X8*Assumptions!$B$29</f>
        <v>23.6807998216261</v>
      </c>
      <c r="Y9" s="24" t="n">
        <f aca="false">Y8*Assumptions!$B$29</f>
        <v>26.0488798037888</v>
      </c>
      <c r="Z9" s="24" t="n">
        <f aca="false">Z8*Assumptions!$B$29</f>
        <v>28.6537677841676</v>
      </c>
      <c r="AA9" s="24" t="n">
        <f aca="false">AA8*Assumptions!$B$29</f>
        <v>31.5191445625844</v>
      </c>
      <c r="AB9" s="24" t="n">
        <f aca="false">AB8*Assumptions!$B$29</f>
        <v>34.6710590188428</v>
      </c>
      <c r="AC9" s="24" t="n">
        <f aca="false">AC8*Assumptions!$B$29</f>
        <v>38.1381649207271</v>
      </c>
      <c r="AD9" s="24" t="n">
        <f aca="false">AD8*Assumptions!$B$29</f>
        <v>41.9519814127999</v>
      </c>
      <c r="AE9" s="24" t="n">
        <f aca="false">AE8*Assumptions!$B$29</f>
        <v>46.1471795540798</v>
      </c>
      <c r="AF9" s="24" t="n">
        <f aca="false">AF8*Assumptions!$B$29</f>
        <v>50.7618975094878</v>
      </c>
      <c r="AG9" s="24" t="n">
        <f aca="false">AG8*Assumptions!$B$29</f>
        <v>55.8380872604366</v>
      </c>
      <c r="AH9" s="24" t="n">
        <f aca="false">AH8*Assumptions!$B$29</f>
        <v>61.4218959864803</v>
      </c>
      <c r="AI9" s="24" t="n">
        <f aca="false">AI8*Assumptions!$B$29</f>
        <v>67.5640855851283</v>
      </c>
      <c r="AJ9" s="24" t="n">
        <f aca="false">AJ8*Assumptions!$B$29</f>
        <v>74.3204941436411</v>
      </c>
      <c r="AK9" s="24" t="n">
        <f aca="false">AK8*Assumptions!$B$29</f>
        <v>81.7525435580053</v>
      </c>
      <c r="AL9" s="24" t="n">
        <f aca="false">AL8*Assumptions!$B$29</f>
        <v>89.9277979138058</v>
      </c>
    </row>
    <row r="10" customFormat="false" ht="15" hidden="false" customHeight="false" outlineLevel="0" collapsed="false">
      <c r="B10" s="3" t="s">
        <v>152</v>
      </c>
      <c r="C10" s="24" t="n">
        <f aca="false">C8*Assumptions!$B$30</f>
        <v>3.6</v>
      </c>
      <c r="D10" s="24" t="n">
        <f aca="false">D8*Assumptions!$B$30</f>
        <v>3.96</v>
      </c>
      <c r="E10" s="24" t="n">
        <f aca="false">E8*Assumptions!$B$30</f>
        <v>4.356</v>
      </c>
      <c r="F10" s="24" t="n">
        <f aca="false">F8*Assumptions!$B$30</f>
        <v>4.7916</v>
      </c>
      <c r="G10" s="24" t="n">
        <f aca="false">G8*Assumptions!$B$30</f>
        <v>5.27076</v>
      </c>
      <c r="H10" s="24" t="n">
        <f aca="false">H8*Assumptions!$B$30</f>
        <v>5.797836</v>
      </c>
      <c r="I10" s="24" t="n">
        <f aca="false">I8*Assumptions!$B$30</f>
        <v>6.3776196</v>
      </c>
      <c r="J10" s="24" t="n">
        <f aca="false">J8*Assumptions!$B$30</f>
        <v>7.01538156</v>
      </c>
      <c r="K10" s="24" t="n">
        <f aca="false">K8*Assumptions!$B$30</f>
        <v>7.716919716</v>
      </c>
      <c r="L10" s="24" t="n">
        <f aca="false">L8*Assumptions!$B$30</f>
        <v>8.4886116876</v>
      </c>
      <c r="M10" s="24" t="n">
        <f aca="false">M8*Assumptions!$B$30</f>
        <v>9.33747285636001</v>
      </c>
      <c r="N10" s="24" t="n">
        <f aca="false">N8*Assumptions!$B$30</f>
        <v>10.271220141996</v>
      </c>
      <c r="O10" s="24" t="n">
        <f aca="false">O8*Assumptions!$B$30</f>
        <v>11.2983421561956</v>
      </c>
      <c r="P10" s="24" t="n">
        <f aca="false">P8*Assumptions!$B$30</f>
        <v>12.4281763718152</v>
      </c>
      <c r="Q10" s="24" t="n">
        <f aca="false">Q8*Assumptions!$B$30</f>
        <v>13.6709940089967</v>
      </c>
      <c r="R10" s="24" t="n">
        <f aca="false">R8*Assumptions!$B$30</f>
        <v>15.0380934098964</v>
      </c>
      <c r="S10" s="24" t="n">
        <f aca="false">S8*Assumptions!$B$30</f>
        <v>16.541902750886</v>
      </c>
      <c r="T10" s="24" t="n">
        <f aca="false">T8*Assumptions!$B$30</f>
        <v>18.1960930259746</v>
      </c>
      <c r="U10" s="24" t="n">
        <f aca="false">U8*Assumptions!$B$30</f>
        <v>20.0157023285721</v>
      </c>
      <c r="V10" s="24" t="n">
        <f aca="false">V8*Assumptions!$B$30</f>
        <v>22.0172725614293</v>
      </c>
      <c r="W10" s="24" t="n">
        <f aca="false">W8*Assumptions!$B$30</f>
        <v>24.2189998175722</v>
      </c>
      <c r="X10" s="24" t="n">
        <f aca="false">X8*Assumptions!$B$30</f>
        <v>26.6408997993294</v>
      </c>
      <c r="Y10" s="24" t="n">
        <f aca="false">Y8*Assumptions!$B$30</f>
        <v>29.3049897792624</v>
      </c>
      <c r="Z10" s="24" t="n">
        <f aca="false">Z8*Assumptions!$B$30</f>
        <v>32.2354887571886</v>
      </c>
      <c r="AA10" s="24" t="n">
        <f aca="false">AA8*Assumptions!$B$30</f>
        <v>35.4590376329075</v>
      </c>
      <c r="AB10" s="24" t="n">
        <f aca="false">AB8*Assumptions!$B$30</f>
        <v>39.0049413961982</v>
      </c>
      <c r="AC10" s="24" t="n">
        <f aca="false">AC8*Assumptions!$B$30</f>
        <v>42.905435535818</v>
      </c>
      <c r="AD10" s="24" t="n">
        <f aca="false">AD8*Assumptions!$B$30</f>
        <v>47.1959790893998</v>
      </c>
      <c r="AE10" s="24" t="n">
        <f aca="false">AE8*Assumptions!$B$30</f>
        <v>51.9155769983398</v>
      </c>
      <c r="AF10" s="24" t="n">
        <f aca="false">AF8*Assumptions!$B$30</f>
        <v>57.1071346981738</v>
      </c>
      <c r="AG10" s="24" t="n">
        <f aca="false">AG8*Assumptions!$B$30</f>
        <v>62.8178481679912</v>
      </c>
      <c r="AH10" s="24" t="n">
        <f aca="false">AH8*Assumptions!$B$30</f>
        <v>69.0996329847903</v>
      </c>
      <c r="AI10" s="24" t="n">
        <f aca="false">AI8*Assumptions!$B$30</f>
        <v>76.0095962832693</v>
      </c>
      <c r="AJ10" s="24" t="n">
        <f aca="false">AJ8*Assumptions!$B$30</f>
        <v>83.6105559115963</v>
      </c>
      <c r="AK10" s="24" t="n">
        <f aca="false">AK8*Assumptions!$B$30</f>
        <v>91.9716115027559</v>
      </c>
      <c r="AL10" s="24" t="n">
        <f aca="false">AL8*Assumptions!$B$30</f>
        <v>101.168772653032</v>
      </c>
    </row>
    <row r="11" customFormat="false" ht="15" hidden="false" customHeight="false" outlineLevel="0" collapsed="false">
      <c r="B11" s="3" t="s">
        <v>153</v>
      </c>
      <c r="C11" s="24" t="n">
        <f aca="false">C8*Assumptions!$B$31</f>
        <v>1.2</v>
      </c>
      <c r="D11" s="24" t="n">
        <f aca="false">D8*Assumptions!$B$31</f>
        <v>1.32</v>
      </c>
      <c r="E11" s="24" t="n">
        <f aca="false">E8*Assumptions!$B$31</f>
        <v>1.452</v>
      </c>
      <c r="F11" s="24" t="n">
        <f aca="false">F8*Assumptions!$B$31</f>
        <v>1.5972</v>
      </c>
      <c r="G11" s="24" t="n">
        <f aca="false">G8*Assumptions!$B$31</f>
        <v>1.75692</v>
      </c>
      <c r="H11" s="24" t="n">
        <f aca="false">H8*Assumptions!$B$31</f>
        <v>1.932612</v>
      </c>
      <c r="I11" s="24" t="n">
        <f aca="false">I8*Assumptions!$B$31</f>
        <v>2.1258732</v>
      </c>
      <c r="J11" s="24" t="n">
        <f aca="false">J8*Assumptions!$B$31</f>
        <v>2.33846052</v>
      </c>
      <c r="K11" s="24" t="n">
        <f aca="false">K8*Assumptions!$B$31</f>
        <v>2.572306572</v>
      </c>
      <c r="L11" s="24" t="n">
        <f aca="false">L8*Assumptions!$B$31</f>
        <v>2.8295372292</v>
      </c>
      <c r="M11" s="24" t="n">
        <f aca="false">M8*Assumptions!$B$31</f>
        <v>3.11249095212</v>
      </c>
      <c r="N11" s="24" t="n">
        <f aca="false">N8*Assumptions!$B$31</f>
        <v>3.423740047332</v>
      </c>
      <c r="O11" s="24" t="n">
        <f aca="false">O8*Assumptions!$B$31</f>
        <v>3.7661140520652</v>
      </c>
      <c r="P11" s="24" t="n">
        <f aca="false">P8*Assumptions!$B$31</f>
        <v>4.14272545727172</v>
      </c>
      <c r="Q11" s="24" t="n">
        <f aca="false">Q8*Assumptions!$B$31</f>
        <v>4.5569980029989</v>
      </c>
      <c r="R11" s="24" t="n">
        <f aca="false">R8*Assumptions!$B$31</f>
        <v>5.01269780329879</v>
      </c>
      <c r="S11" s="24" t="n">
        <f aca="false">S8*Assumptions!$B$31</f>
        <v>5.51396758362866</v>
      </c>
      <c r="T11" s="24" t="n">
        <f aca="false">T8*Assumptions!$B$31</f>
        <v>6.06536434199153</v>
      </c>
      <c r="U11" s="24" t="n">
        <f aca="false">U8*Assumptions!$B$31</f>
        <v>6.67190077619069</v>
      </c>
      <c r="V11" s="24" t="n">
        <f aca="false">V8*Assumptions!$B$31</f>
        <v>7.33909085380975</v>
      </c>
      <c r="W11" s="24" t="n">
        <f aca="false">W8*Assumptions!$B$31</f>
        <v>8.07299993919073</v>
      </c>
      <c r="X11" s="24" t="n">
        <f aca="false">X8*Assumptions!$B$31</f>
        <v>8.8802999331098</v>
      </c>
      <c r="Y11" s="24" t="n">
        <f aca="false">Y8*Assumptions!$B$31</f>
        <v>9.76832992642079</v>
      </c>
      <c r="Z11" s="24" t="n">
        <f aca="false">Z8*Assumptions!$B$31</f>
        <v>10.7451629190629</v>
      </c>
      <c r="AA11" s="24" t="n">
        <f aca="false">AA8*Assumptions!$B$31</f>
        <v>11.8196792109692</v>
      </c>
      <c r="AB11" s="24" t="n">
        <f aca="false">AB8*Assumptions!$B$31</f>
        <v>13.0016471320661</v>
      </c>
      <c r="AC11" s="24" t="n">
        <f aca="false">AC8*Assumptions!$B$31</f>
        <v>14.3018118452727</v>
      </c>
      <c r="AD11" s="24" t="n">
        <f aca="false">AD8*Assumptions!$B$31</f>
        <v>15.7319930297999</v>
      </c>
      <c r="AE11" s="24" t="n">
        <f aca="false">AE8*Assumptions!$B$31</f>
        <v>17.3051923327799</v>
      </c>
      <c r="AF11" s="24" t="n">
        <f aca="false">AF8*Assumptions!$B$31</f>
        <v>19.0357115660579</v>
      </c>
      <c r="AG11" s="24" t="n">
        <f aca="false">AG8*Assumptions!$B$31</f>
        <v>20.9392827226637</v>
      </c>
      <c r="AH11" s="24" t="n">
        <f aca="false">AH8*Assumptions!$B$31</f>
        <v>23.0332109949301</v>
      </c>
      <c r="AI11" s="24" t="n">
        <f aca="false">AI8*Assumptions!$B$31</f>
        <v>25.3365320944231</v>
      </c>
      <c r="AJ11" s="24" t="n">
        <f aca="false">AJ8*Assumptions!$B$31</f>
        <v>27.8701853038654</v>
      </c>
      <c r="AK11" s="24" t="n">
        <f aca="false">AK8*Assumptions!$B$31</f>
        <v>30.657203834252</v>
      </c>
      <c r="AL11" s="24" t="n">
        <f aca="false">AL8*Assumptions!$B$31</f>
        <v>33.7229242176772</v>
      </c>
    </row>
    <row r="12" customFormat="false" ht="15" hidden="false" customHeight="false" outlineLevel="0" collapsed="false">
      <c r="B12" s="3" t="s">
        <v>154</v>
      </c>
      <c r="C12" s="24" t="n">
        <f aca="false">C7*Assumptions!$B$32</f>
        <v>2</v>
      </c>
      <c r="D12" s="24" t="n">
        <f aca="false">D7*Assumptions!$B$32</f>
        <v>2.2</v>
      </c>
      <c r="E12" s="24" t="n">
        <f aca="false">E7*Assumptions!$B$32</f>
        <v>2.42</v>
      </c>
      <c r="F12" s="24" t="n">
        <f aca="false">F7*Assumptions!$B$32</f>
        <v>2.662</v>
      </c>
      <c r="G12" s="24" t="n">
        <f aca="false">G7*Assumptions!$B$32</f>
        <v>2.9282</v>
      </c>
      <c r="H12" s="24" t="n">
        <f aca="false">H7*Assumptions!$B$32</f>
        <v>3.22102</v>
      </c>
      <c r="I12" s="24" t="n">
        <f aca="false">I7*Assumptions!$B$32</f>
        <v>3.543122</v>
      </c>
      <c r="J12" s="24" t="n">
        <f aca="false">J7*Assumptions!$B$32</f>
        <v>3.8974342</v>
      </c>
      <c r="K12" s="24" t="n">
        <f aca="false">K7*Assumptions!$B$32</f>
        <v>4.28717762</v>
      </c>
      <c r="L12" s="24" t="n">
        <f aca="false">L7*Assumptions!$B$32</f>
        <v>4.715895382</v>
      </c>
      <c r="M12" s="24" t="n">
        <f aca="false">M7*Assumptions!$B$32</f>
        <v>5.1874849202</v>
      </c>
      <c r="N12" s="24" t="n">
        <f aca="false">N7*Assumptions!$B$32</f>
        <v>5.70623341222</v>
      </c>
      <c r="O12" s="24" t="n">
        <f aca="false">O7*Assumptions!$B$32</f>
        <v>6.276856753442</v>
      </c>
      <c r="P12" s="24" t="n">
        <f aca="false">P7*Assumptions!$B$32</f>
        <v>6.90454242878621</v>
      </c>
      <c r="Q12" s="24" t="n">
        <f aca="false">Q7*Assumptions!$B$32</f>
        <v>7.59499667166483</v>
      </c>
      <c r="R12" s="24" t="n">
        <f aca="false">R7*Assumptions!$B$32</f>
        <v>8.35449633883131</v>
      </c>
      <c r="S12" s="24" t="n">
        <f aca="false">S7*Assumptions!$B$32</f>
        <v>9.18994597271444</v>
      </c>
      <c r="T12" s="24" t="n">
        <f aca="false">T7*Assumptions!$B$32</f>
        <v>10.1089405699859</v>
      </c>
      <c r="U12" s="24" t="n">
        <f aca="false">U7*Assumptions!$B$32</f>
        <v>11.1198346269845</v>
      </c>
      <c r="V12" s="24" t="n">
        <f aca="false">V7*Assumptions!$B$32</f>
        <v>12.2318180896829</v>
      </c>
      <c r="W12" s="24" t="n">
        <f aca="false">W7*Assumptions!$B$32</f>
        <v>13.4549998986512</v>
      </c>
      <c r="X12" s="24" t="n">
        <f aca="false">X7*Assumptions!$B$32</f>
        <v>14.8004998885163</v>
      </c>
      <c r="Y12" s="24" t="n">
        <f aca="false">Y7*Assumptions!$B$32</f>
        <v>16.280549877368</v>
      </c>
      <c r="Z12" s="24" t="n">
        <f aca="false">Z7*Assumptions!$B$32</f>
        <v>17.9086048651048</v>
      </c>
      <c r="AA12" s="24" t="n">
        <f aca="false">AA7*Assumptions!$B$32</f>
        <v>19.6994653516153</v>
      </c>
      <c r="AB12" s="24" t="n">
        <f aca="false">AB7*Assumptions!$B$32</f>
        <v>21.6694118867768</v>
      </c>
      <c r="AC12" s="24" t="n">
        <f aca="false">AC7*Assumptions!$B$32</f>
        <v>23.8363530754545</v>
      </c>
      <c r="AD12" s="24" t="n">
        <f aca="false">AD7*Assumptions!$B$32</f>
        <v>26.2199883829999</v>
      </c>
      <c r="AE12" s="24" t="n">
        <f aca="false">AE7*Assumptions!$B$32</f>
        <v>28.8419872212999</v>
      </c>
      <c r="AF12" s="24" t="n">
        <f aca="false">AF7*Assumptions!$B$32</f>
        <v>31.7261859434299</v>
      </c>
      <c r="AG12" s="24" t="n">
        <f aca="false">AG7*Assumptions!$B$32</f>
        <v>34.8988045377729</v>
      </c>
      <c r="AH12" s="24" t="n">
        <f aca="false">AH7*Assumptions!$B$32</f>
        <v>38.3886849915502</v>
      </c>
      <c r="AI12" s="24" t="n">
        <f aca="false">AI7*Assumptions!$B$32</f>
        <v>42.2275534907052</v>
      </c>
      <c r="AJ12" s="24" t="n">
        <f aca="false">AJ7*Assumptions!$B$32</f>
        <v>46.4503088397757</v>
      </c>
      <c r="AK12" s="24" t="n">
        <f aca="false">AK7*Assumptions!$B$32</f>
        <v>51.0953397237533</v>
      </c>
      <c r="AL12" s="24" t="n">
        <f aca="false">AL7*Assumptions!$B$32</f>
        <v>56.2048736961286</v>
      </c>
    </row>
    <row r="14" customFormat="false" ht="15" hidden="false" customHeight="false" outlineLevel="0" collapsed="false">
      <c r="B14" s="2" t="s">
        <v>155</v>
      </c>
      <c r="C14" s="24" t="n">
        <v>0</v>
      </c>
      <c r="D14" s="24" t="n">
        <f aca="false">C17</f>
        <v>3.2</v>
      </c>
      <c r="E14" s="24" t="n">
        <f aca="false">D17</f>
        <v>6.464</v>
      </c>
      <c r="F14" s="24" t="n">
        <f aca="false">E17</f>
        <v>9.81888</v>
      </c>
      <c r="G14" s="24" t="n">
        <f aca="false">F17</f>
        <v>13.2925696</v>
      </c>
      <c r="H14" s="24" t="n">
        <f aca="false">G17</f>
        <v>16.914284032</v>
      </c>
      <c r="I14" s="24" t="n">
        <f aca="false">H17</f>
        <v>20.71477330944</v>
      </c>
      <c r="J14" s="24" t="n">
        <f aca="false">I17</f>
        <v>24.7265866446848</v>
      </c>
      <c r="K14" s="24" t="n">
        <f aca="false">J17</f>
        <v>28.98435443311</v>
      </c>
      <c r="L14" s="24" t="n">
        <f aca="false">K17</f>
        <v>33.5250902704612</v>
      </c>
      <c r="M14" s="24" t="n">
        <f aca="false">L17</f>
        <v>38.3885156600243</v>
      </c>
      <c r="N14" s="24" t="n">
        <f aca="false">M17</f>
        <v>43.6174102795424</v>
      </c>
      <c r="O14" s="24" t="n">
        <f aca="false">N17</f>
        <v>49.257990916731</v>
      </c>
      <c r="P14" s="24" t="n">
        <f aca="false">O17</f>
        <v>55.3603224488997</v>
      </c>
      <c r="Q14" s="24" t="n">
        <f aca="false">P17</f>
        <v>61.9787645390457</v>
      </c>
      <c r="R14" s="24" t="n">
        <f aca="false">Q17</f>
        <v>69.1724580505858</v>
      </c>
      <c r="S14" s="24" t="n">
        <f aca="false">R17</f>
        <v>77.005855548669</v>
      </c>
      <c r="T14" s="24" t="n">
        <f aca="false">S17</f>
        <v>85.5493006611186</v>
      </c>
      <c r="U14" s="24" t="n">
        <f aca="false">T17</f>
        <v>94.8796615202065</v>
      </c>
      <c r="V14" s="24" t="n">
        <f aca="false">U17</f>
        <v>105.081024001765</v>
      </c>
      <c r="W14" s="24" t="n">
        <f aca="false">V17</f>
        <v>116.245451025117</v>
      </c>
      <c r="X14" s="24" t="n">
        <f aca="false">W17</f>
        <v>128.473814780949</v>
      </c>
      <c r="Y14" s="24" t="n">
        <f aca="false">X17</f>
        <v>141.876709420099</v>
      </c>
      <c r="Z14" s="24" t="n">
        <f aca="false">Y17</f>
        <v>156.57545247028</v>
      </c>
      <c r="AA14" s="24" t="n">
        <f aca="false">Z17</f>
        <v>172.703184056825</v>
      </c>
      <c r="AB14" s="24" t="n">
        <f aca="false">AA17</f>
        <v>190.406073894864</v>
      </c>
      <c r="AC14" s="24" t="n">
        <f aca="false">AB17</f>
        <v>209.844647002118</v>
      </c>
      <c r="AD14" s="24" t="n">
        <f aca="false">AC17</f>
        <v>231.195240162675</v>
      </c>
      <c r="AE14" s="24" t="n">
        <f aca="false">AD17</f>
        <v>254.651602362461</v>
      </c>
      <c r="AF14" s="24" t="n">
        <f aca="false">AE17</f>
        <v>280.426653727544</v>
      </c>
      <c r="AG14" s="24" t="n">
        <f aca="false">AF17</f>
        <v>308.754418938828</v>
      </c>
      <c r="AH14" s="24" t="n">
        <f aca="false">AG17</f>
        <v>339.892152684159</v>
      </c>
      <c r="AI14" s="24" t="n">
        <f aca="false">AH17</f>
        <v>374.122676455906</v>
      </c>
      <c r="AJ14" s="24" t="n">
        <f aca="false">AI17</f>
        <v>411.756947924562</v>
      </c>
      <c r="AK14" s="24" t="n">
        <f aca="false">AJ17</f>
        <v>453.136886234238</v>
      </c>
      <c r="AL14" s="24" t="n">
        <f aca="false">AK17</f>
        <v>498.638478893504</v>
      </c>
    </row>
    <row r="15" customFormat="false" ht="15" hidden="false" customHeight="false" outlineLevel="0" collapsed="false">
      <c r="B15" s="3" t="s">
        <v>156</v>
      </c>
      <c r="C15" s="24" t="n">
        <f aca="false">C9</f>
        <v>3.2</v>
      </c>
      <c r="D15" s="24" t="n">
        <f aca="false">D9</f>
        <v>3.52</v>
      </c>
      <c r="E15" s="24" t="n">
        <f aca="false">E9</f>
        <v>3.872</v>
      </c>
      <c r="F15" s="24" t="n">
        <f aca="false">F9</f>
        <v>4.2592</v>
      </c>
      <c r="G15" s="24" t="n">
        <f aca="false">G9</f>
        <v>4.68512</v>
      </c>
      <c r="H15" s="24" t="n">
        <f aca="false">H9</f>
        <v>5.153632</v>
      </c>
      <c r="I15" s="24" t="n">
        <f aca="false">I9</f>
        <v>5.6689952</v>
      </c>
      <c r="J15" s="24" t="n">
        <f aca="false">J9</f>
        <v>6.23589472</v>
      </c>
      <c r="K15" s="24" t="n">
        <f aca="false">K9</f>
        <v>6.859484192</v>
      </c>
      <c r="L15" s="24" t="n">
        <f aca="false">L9</f>
        <v>7.5454326112</v>
      </c>
      <c r="M15" s="24" t="n">
        <f aca="false">M9</f>
        <v>8.29997587232001</v>
      </c>
      <c r="N15" s="24" t="n">
        <f aca="false">N9</f>
        <v>9.129973459552</v>
      </c>
      <c r="O15" s="24" t="n">
        <f aca="false">O9</f>
        <v>10.0429708055072</v>
      </c>
      <c r="P15" s="24" t="n">
        <f aca="false">P9</f>
        <v>11.0472678860579</v>
      </c>
      <c r="Q15" s="24" t="n">
        <f aca="false">Q9</f>
        <v>12.1519946746637</v>
      </c>
      <c r="R15" s="24" t="n">
        <f aca="false">R9</f>
        <v>13.3671941421301</v>
      </c>
      <c r="S15" s="24" t="n">
        <f aca="false">S9</f>
        <v>14.7039135563431</v>
      </c>
      <c r="T15" s="24" t="n">
        <f aca="false">T9</f>
        <v>16.1743049119774</v>
      </c>
      <c r="U15" s="24" t="n">
        <f aca="false">U9</f>
        <v>17.7917354031752</v>
      </c>
      <c r="V15" s="24" t="n">
        <f aca="false">V9</f>
        <v>19.5709089434927</v>
      </c>
      <c r="W15" s="24" t="n">
        <f aca="false">W9</f>
        <v>21.527999837842</v>
      </c>
      <c r="X15" s="24" t="n">
        <f aca="false">X9</f>
        <v>23.6807998216261</v>
      </c>
      <c r="Y15" s="24" t="n">
        <f aca="false">Y9</f>
        <v>26.0488798037888</v>
      </c>
      <c r="Z15" s="24" t="n">
        <f aca="false">Z9</f>
        <v>28.6537677841676</v>
      </c>
      <c r="AA15" s="24" t="n">
        <f aca="false">AA9</f>
        <v>31.5191445625844</v>
      </c>
      <c r="AB15" s="24" t="n">
        <f aca="false">AB9</f>
        <v>34.6710590188428</v>
      </c>
      <c r="AC15" s="24" t="n">
        <f aca="false">AC9</f>
        <v>38.1381649207271</v>
      </c>
      <c r="AD15" s="24" t="n">
        <f aca="false">AD9</f>
        <v>41.9519814127999</v>
      </c>
      <c r="AE15" s="24" t="n">
        <f aca="false">AE9</f>
        <v>46.1471795540798</v>
      </c>
      <c r="AF15" s="24" t="n">
        <f aca="false">AF9</f>
        <v>50.7618975094878</v>
      </c>
      <c r="AG15" s="24" t="n">
        <f aca="false">AG9</f>
        <v>55.8380872604366</v>
      </c>
      <c r="AH15" s="24" t="n">
        <f aca="false">AH9</f>
        <v>61.4218959864803</v>
      </c>
      <c r="AI15" s="24" t="n">
        <f aca="false">AI9</f>
        <v>67.5640855851283</v>
      </c>
      <c r="AJ15" s="24" t="n">
        <f aca="false">AJ9</f>
        <v>74.3204941436411</v>
      </c>
      <c r="AK15" s="24" t="n">
        <f aca="false">AK9</f>
        <v>81.7525435580053</v>
      </c>
      <c r="AL15" s="24" t="n">
        <f aca="false">AL9</f>
        <v>89.9277979138058</v>
      </c>
    </row>
    <row r="16" customFormat="false" ht="15" hidden="false" customHeight="false" outlineLevel="0" collapsed="false">
      <c r="B16" s="3" t="s">
        <v>157</v>
      </c>
      <c r="C16" s="24" t="n">
        <f aca="false">C14*Assumptions!$B$35</f>
        <v>0</v>
      </c>
      <c r="D16" s="24" t="n">
        <f aca="false">D14*Assumptions!$B$35</f>
        <v>0.256</v>
      </c>
      <c r="E16" s="24" t="n">
        <f aca="false">E14*Assumptions!$B$35</f>
        <v>0.51712</v>
      </c>
      <c r="F16" s="24" t="n">
        <f aca="false">F14*Assumptions!$B$35</f>
        <v>0.7855104</v>
      </c>
      <c r="G16" s="24" t="n">
        <f aca="false">G14*Assumptions!$B$35</f>
        <v>1.063405568</v>
      </c>
      <c r="H16" s="24" t="n">
        <f aca="false">H14*Assumptions!$B$35</f>
        <v>1.35314272256</v>
      </c>
      <c r="I16" s="24" t="n">
        <f aca="false">I14*Assumptions!$B$35</f>
        <v>1.6571818647552</v>
      </c>
      <c r="J16" s="24" t="n">
        <f aca="false">J14*Assumptions!$B$35</f>
        <v>1.97812693157478</v>
      </c>
      <c r="K16" s="24" t="n">
        <f aca="false">K14*Assumptions!$B$35</f>
        <v>2.3187483546488</v>
      </c>
      <c r="L16" s="24" t="n">
        <f aca="false">L14*Assumptions!$B$35</f>
        <v>2.6820072216369</v>
      </c>
      <c r="M16" s="24" t="n">
        <f aca="false">M14*Assumptions!$B$35</f>
        <v>3.07108125280195</v>
      </c>
      <c r="N16" s="24" t="n">
        <f aca="false">N14*Assumptions!$B$35</f>
        <v>3.48939282236339</v>
      </c>
      <c r="O16" s="24" t="n">
        <f aca="false">O14*Assumptions!$B$35</f>
        <v>3.94063927333848</v>
      </c>
      <c r="P16" s="24" t="n">
        <f aca="false">P14*Assumptions!$B$35</f>
        <v>4.42882579591198</v>
      </c>
      <c r="Q16" s="24" t="n">
        <f aca="false">Q14*Assumptions!$B$35</f>
        <v>4.95830116312365</v>
      </c>
      <c r="R16" s="24" t="n">
        <f aca="false">R14*Assumptions!$B$35</f>
        <v>5.53379664404686</v>
      </c>
      <c r="S16" s="24" t="n">
        <f aca="false">S14*Assumptions!$B$35</f>
        <v>6.16046844389352</v>
      </c>
      <c r="T16" s="24" t="n">
        <f aca="false">T14*Assumptions!$B$35</f>
        <v>6.84394405288949</v>
      </c>
      <c r="U16" s="24" t="n">
        <f aca="false">U14*Assumptions!$B$35</f>
        <v>7.59037292161652</v>
      </c>
      <c r="V16" s="24" t="n">
        <f aca="false">V14*Assumptions!$B$35</f>
        <v>8.40648192014121</v>
      </c>
      <c r="W16" s="24" t="n">
        <f aca="false">W14*Assumptions!$B$35</f>
        <v>9.29963608200933</v>
      </c>
      <c r="X16" s="24" t="n">
        <f aca="false">X14*Assumptions!$B$35</f>
        <v>10.2779051824759</v>
      </c>
      <c r="Y16" s="24" t="n">
        <f aca="false">Y14*Assumptions!$B$35</f>
        <v>11.350136753608</v>
      </c>
      <c r="Z16" s="24" t="n">
        <f aca="false">Z14*Assumptions!$B$35</f>
        <v>12.5260361976224</v>
      </c>
      <c r="AA16" s="24" t="n">
        <f aca="false">AA14*Assumptions!$B$35</f>
        <v>13.816254724546</v>
      </c>
      <c r="AB16" s="24" t="n">
        <f aca="false">AB14*Assumptions!$B$35</f>
        <v>15.2324859115891</v>
      </c>
      <c r="AC16" s="24" t="n">
        <f aca="false">AC14*Assumptions!$B$35</f>
        <v>16.7875717601694</v>
      </c>
      <c r="AD16" s="24" t="n">
        <f aca="false">AD14*Assumptions!$B$35</f>
        <v>18.495619213014</v>
      </c>
      <c r="AE16" s="24" t="n">
        <f aca="false">AE14*Assumptions!$B$35</f>
        <v>20.3721281889969</v>
      </c>
      <c r="AF16" s="24" t="n">
        <f aca="false">AF14*Assumptions!$B$35</f>
        <v>22.4341322982035</v>
      </c>
      <c r="AG16" s="24" t="n">
        <f aca="false">AG14*Assumptions!$B$35</f>
        <v>24.7003535151063</v>
      </c>
      <c r="AH16" s="24" t="n">
        <f aca="false">AH14*Assumptions!$B$35</f>
        <v>27.1913722147327</v>
      </c>
      <c r="AI16" s="24" t="n">
        <f aca="false">AI14*Assumptions!$B$35</f>
        <v>29.9298141164725</v>
      </c>
      <c r="AJ16" s="24" t="n">
        <f aca="false">AJ14*Assumptions!$B$35</f>
        <v>32.940555833965</v>
      </c>
      <c r="AK16" s="24" t="n">
        <f aca="false">AK14*Assumptions!$B$35</f>
        <v>36.2509508987391</v>
      </c>
      <c r="AL16" s="24" t="n">
        <f aca="false">AL14*Assumptions!$B$35</f>
        <v>39.8910783114804</v>
      </c>
    </row>
    <row r="17" customFormat="false" ht="15" hidden="false" customHeight="false" outlineLevel="0" collapsed="false">
      <c r="B17" s="3" t="s">
        <v>158</v>
      </c>
      <c r="C17" s="24" t="n">
        <f aca="false">C14+C15-C16</f>
        <v>3.2</v>
      </c>
      <c r="D17" s="24" t="n">
        <f aca="false">D14+D15-D16</f>
        <v>6.464</v>
      </c>
      <c r="E17" s="24" t="n">
        <f aca="false">E14+E15-E16</f>
        <v>9.81888</v>
      </c>
      <c r="F17" s="24" t="n">
        <f aca="false">F14+F15-F16</f>
        <v>13.2925696</v>
      </c>
      <c r="G17" s="24" t="n">
        <f aca="false">G14+G15-G16</f>
        <v>16.914284032</v>
      </c>
      <c r="H17" s="24" t="n">
        <f aca="false">H14+H15-H16</f>
        <v>20.71477330944</v>
      </c>
      <c r="I17" s="24" t="n">
        <f aca="false">I14+I15-I16</f>
        <v>24.7265866446848</v>
      </c>
      <c r="J17" s="24" t="n">
        <f aca="false">J14+J15-J16</f>
        <v>28.98435443311</v>
      </c>
      <c r="K17" s="24" t="n">
        <f aca="false">K14+K15-K16</f>
        <v>33.5250902704612</v>
      </c>
      <c r="L17" s="24" t="n">
        <f aca="false">L14+L15-L16</f>
        <v>38.3885156600243</v>
      </c>
      <c r="M17" s="24" t="n">
        <f aca="false">M14+M15-M16</f>
        <v>43.6174102795424</v>
      </c>
      <c r="N17" s="24" t="n">
        <f aca="false">N14+N15-N16</f>
        <v>49.257990916731</v>
      </c>
      <c r="O17" s="24" t="n">
        <f aca="false">O14+O15-O16</f>
        <v>55.3603224488997</v>
      </c>
      <c r="P17" s="24" t="n">
        <f aca="false">P14+P15-P16</f>
        <v>61.9787645390457</v>
      </c>
      <c r="Q17" s="24" t="n">
        <f aca="false">Q14+Q15-Q16</f>
        <v>69.1724580505858</v>
      </c>
      <c r="R17" s="24" t="n">
        <f aca="false">R14+R15-R16</f>
        <v>77.005855548669</v>
      </c>
      <c r="S17" s="24" t="n">
        <f aca="false">S14+S15-S16</f>
        <v>85.5493006611186</v>
      </c>
      <c r="T17" s="24" t="n">
        <f aca="false">T14+T15-T16</f>
        <v>94.8796615202065</v>
      </c>
      <c r="U17" s="24" t="n">
        <f aca="false">U14+U15-U16</f>
        <v>105.081024001765</v>
      </c>
      <c r="V17" s="24" t="n">
        <f aca="false">V14+V15-V16</f>
        <v>116.245451025117</v>
      </c>
      <c r="W17" s="24" t="n">
        <f aca="false">W14+W15-W16</f>
        <v>128.473814780949</v>
      </c>
      <c r="X17" s="24" t="n">
        <f aca="false">X14+X15-X16</f>
        <v>141.876709420099</v>
      </c>
      <c r="Y17" s="24" t="n">
        <f aca="false">Y14+Y15-Y16</f>
        <v>156.57545247028</v>
      </c>
      <c r="Z17" s="24" t="n">
        <f aca="false">Z14+Z15-Z16</f>
        <v>172.703184056825</v>
      </c>
      <c r="AA17" s="24" t="n">
        <f aca="false">AA14+AA15-AA16</f>
        <v>190.406073894864</v>
      </c>
      <c r="AB17" s="24" t="n">
        <f aca="false">AB14+AB15-AB16</f>
        <v>209.844647002118</v>
      </c>
      <c r="AC17" s="24" t="n">
        <f aca="false">AC14+AC15-AC16</f>
        <v>231.195240162675</v>
      </c>
      <c r="AD17" s="24" t="n">
        <f aca="false">AD14+AD15-AD16</f>
        <v>254.651602362461</v>
      </c>
      <c r="AE17" s="24" t="n">
        <f aca="false">AE14+AE15-AE16</f>
        <v>280.426653727544</v>
      </c>
      <c r="AF17" s="24" t="n">
        <f aca="false">AF14+AF15-AF16</f>
        <v>308.754418938828</v>
      </c>
      <c r="AG17" s="24" t="n">
        <f aca="false">AG14+AG15-AG16</f>
        <v>339.892152684159</v>
      </c>
      <c r="AH17" s="24" t="n">
        <f aca="false">AH14+AH15-AH16</f>
        <v>374.122676455906</v>
      </c>
      <c r="AI17" s="24" t="n">
        <f aca="false">AI14+AI15-AI16</f>
        <v>411.756947924562</v>
      </c>
      <c r="AJ17" s="24" t="n">
        <f aca="false">AJ14+AJ15-AJ16</f>
        <v>453.136886234238</v>
      </c>
      <c r="AK17" s="24" t="n">
        <f aca="false">AK14+AK15-AK16</f>
        <v>498.638478893504</v>
      </c>
      <c r="AL17" s="24" t="n">
        <f aca="false">AL14+AL15-AL16</f>
        <v>548.67519849583</v>
      </c>
    </row>
    <row r="19" customFormat="false" ht="15" hidden="false" customHeight="false" outlineLevel="0" collapsed="false">
      <c r="B19" s="2" t="s">
        <v>159</v>
      </c>
      <c r="C19" s="24" t="n">
        <v>0</v>
      </c>
      <c r="D19" s="24" t="n">
        <f aca="false">C22</f>
        <v>3.6</v>
      </c>
      <c r="E19" s="24" t="n">
        <f aca="false">D22</f>
        <v>7.38</v>
      </c>
      <c r="F19" s="24" t="n">
        <f aca="false">E22</f>
        <v>11.367</v>
      </c>
      <c r="G19" s="24" t="n">
        <f aca="false">F22</f>
        <v>15.59025</v>
      </c>
      <c r="H19" s="24" t="n">
        <f aca="false">G22</f>
        <v>20.0814975</v>
      </c>
      <c r="I19" s="24" t="n">
        <f aca="false">H22</f>
        <v>24.875258625</v>
      </c>
      <c r="J19" s="24" t="n">
        <f aca="false">I22</f>
        <v>30.00911529375</v>
      </c>
      <c r="K19" s="24" t="n">
        <f aca="false">J22</f>
        <v>35.5240410890625</v>
      </c>
      <c r="L19" s="24" t="n">
        <f aca="false">K22</f>
        <v>41.4647587506094</v>
      </c>
      <c r="M19" s="24" t="n">
        <f aca="false">L22</f>
        <v>47.8801325006789</v>
      </c>
      <c r="N19" s="24" t="n">
        <f aca="false">M22</f>
        <v>54.823598732005</v>
      </c>
      <c r="O19" s="24" t="n">
        <f aca="false">N22</f>
        <v>62.3536389374007</v>
      </c>
      <c r="P19" s="24" t="n">
        <f aca="false">O22</f>
        <v>70.5342991467263</v>
      </c>
      <c r="Q19" s="24" t="n">
        <f aca="false">P22</f>
        <v>79.4357605612052</v>
      </c>
      <c r="R19" s="24" t="n">
        <f aca="false">Q22</f>
        <v>89.1349665421416</v>
      </c>
      <c r="S19" s="24" t="n">
        <f aca="false">R22</f>
        <v>99.7163116249309</v>
      </c>
      <c r="T19" s="24" t="n">
        <f aca="false">S22</f>
        <v>111.27239879457</v>
      </c>
      <c r="U19" s="24" t="n">
        <f aca="false">T22</f>
        <v>123.904871880816</v>
      </c>
      <c r="V19" s="24" t="n">
        <f aca="false">U22</f>
        <v>137.725330615348</v>
      </c>
      <c r="W19" s="24" t="n">
        <f aca="false">V22</f>
        <v>152.85633664601</v>
      </c>
      <c r="X19" s="24" t="n">
        <f aca="false">W22</f>
        <v>169.432519631281</v>
      </c>
      <c r="Y19" s="24" t="n">
        <f aca="false">X22</f>
        <v>187.601793449047</v>
      </c>
      <c r="Z19" s="24" t="n">
        <f aca="false">Y22</f>
        <v>207.526693555857</v>
      </c>
      <c r="AA19" s="24" t="n">
        <f aca="false">Z22</f>
        <v>229.385847635252</v>
      </c>
      <c r="AB19" s="24" t="n">
        <f aca="false">AA22</f>
        <v>253.375592886397</v>
      </c>
      <c r="AC19" s="24" t="n">
        <f aca="false">AB22</f>
        <v>279.711754638276</v>
      </c>
      <c r="AD19" s="24" t="n">
        <f aca="false">AC22</f>
        <v>308.63160244218</v>
      </c>
      <c r="AE19" s="24" t="n">
        <f aca="false">AD22</f>
        <v>340.396001409471</v>
      </c>
      <c r="AF19" s="24" t="n">
        <f aca="false">AE22</f>
        <v>375.291778337337</v>
      </c>
      <c r="AG19" s="24" t="n">
        <f aca="false">AF22</f>
        <v>413.634324118644</v>
      </c>
      <c r="AH19" s="24" t="n">
        <f aca="false">AG22</f>
        <v>455.770456080703</v>
      </c>
      <c r="AI19" s="24" t="n">
        <f aca="false">AH22</f>
        <v>502.081566261458</v>
      </c>
      <c r="AJ19" s="24" t="n">
        <f aca="false">AI22</f>
        <v>552.987084231654</v>
      </c>
      <c r="AK19" s="24" t="n">
        <f aca="false">AJ22</f>
        <v>608.948285931668</v>
      </c>
      <c r="AL19" s="24" t="n">
        <f aca="false">AK22</f>
        <v>670.472483137841</v>
      </c>
    </row>
    <row r="20" customFormat="false" ht="15" hidden="false" customHeight="false" outlineLevel="0" collapsed="false">
      <c r="B20" s="3" t="s">
        <v>156</v>
      </c>
      <c r="C20" s="24" t="n">
        <f aca="false">C10</f>
        <v>3.6</v>
      </c>
      <c r="D20" s="24" t="n">
        <f aca="false">D10</f>
        <v>3.96</v>
      </c>
      <c r="E20" s="24" t="n">
        <f aca="false">E10</f>
        <v>4.356</v>
      </c>
      <c r="F20" s="24" t="n">
        <f aca="false">F10</f>
        <v>4.7916</v>
      </c>
      <c r="G20" s="24" t="n">
        <f aca="false">G10</f>
        <v>5.27076</v>
      </c>
      <c r="H20" s="24" t="n">
        <f aca="false">H10</f>
        <v>5.797836</v>
      </c>
      <c r="I20" s="24" t="n">
        <f aca="false">I10</f>
        <v>6.3776196</v>
      </c>
      <c r="J20" s="24" t="n">
        <f aca="false">J10</f>
        <v>7.01538156</v>
      </c>
      <c r="K20" s="24" t="n">
        <f aca="false">K10</f>
        <v>7.716919716</v>
      </c>
      <c r="L20" s="24" t="n">
        <f aca="false">L10</f>
        <v>8.4886116876</v>
      </c>
      <c r="M20" s="24" t="n">
        <f aca="false">M10</f>
        <v>9.33747285636001</v>
      </c>
      <c r="N20" s="24" t="n">
        <f aca="false">N10</f>
        <v>10.271220141996</v>
      </c>
      <c r="O20" s="24" t="n">
        <f aca="false">O10</f>
        <v>11.2983421561956</v>
      </c>
      <c r="P20" s="24" t="n">
        <f aca="false">P10</f>
        <v>12.4281763718152</v>
      </c>
      <c r="Q20" s="24" t="n">
        <f aca="false">Q10</f>
        <v>13.6709940089967</v>
      </c>
      <c r="R20" s="24" t="n">
        <f aca="false">R10</f>
        <v>15.0380934098964</v>
      </c>
      <c r="S20" s="24" t="n">
        <f aca="false">S10</f>
        <v>16.541902750886</v>
      </c>
      <c r="T20" s="24" t="n">
        <f aca="false">T10</f>
        <v>18.1960930259746</v>
      </c>
      <c r="U20" s="24" t="n">
        <f aca="false">U10</f>
        <v>20.0157023285721</v>
      </c>
      <c r="V20" s="24" t="n">
        <f aca="false">V10</f>
        <v>22.0172725614293</v>
      </c>
      <c r="W20" s="24" t="n">
        <f aca="false">W10</f>
        <v>24.2189998175722</v>
      </c>
      <c r="X20" s="24" t="n">
        <f aca="false">X10</f>
        <v>26.6408997993294</v>
      </c>
      <c r="Y20" s="24" t="n">
        <f aca="false">Y10</f>
        <v>29.3049897792624</v>
      </c>
      <c r="Z20" s="24" t="n">
        <f aca="false">Z10</f>
        <v>32.2354887571886</v>
      </c>
      <c r="AA20" s="24" t="n">
        <f aca="false">AA10</f>
        <v>35.4590376329075</v>
      </c>
      <c r="AB20" s="24" t="n">
        <f aca="false">AB10</f>
        <v>39.0049413961982</v>
      </c>
      <c r="AC20" s="24" t="n">
        <f aca="false">AC10</f>
        <v>42.905435535818</v>
      </c>
      <c r="AD20" s="24" t="n">
        <f aca="false">AD10</f>
        <v>47.1959790893998</v>
      </c>
      <c r="AE20" s="24" t="n">
        <f aca="false">AE10</f>
        <v>51.9155769983398</v>
      </c>
      <c r="AF20" s="24" t="n">
        <f aca="false">AF10</f>
        <v>57.1071346981738</v>
      </c>
      <c r="AG20" s="24" t="n">
        <f aca="false">AG10</f>
        <v>62.8178481679912</v>
      </c>
      <c r="AH20" s="24" t="n">
        <f aca="false">AH10</f>
        <v>69.0996329847903</v>
      </c>
      <c r="AI20" s="24" t="n">
        <f aca="false">AI10</f>
        <v>76.0095962832693</v>
      </c>
      <c r="AJ20" s="24" t="n">
        <f aca="false">AJ10</f>
        <v>83.6105559115963</v>
      </c>
      <c r="AK20" s="24" t="n">
        <f aca="false">AK10</f>
        <v>91.9716115027559</v>
      </c>
      <c r="AL20" s="24" t="n">
        <f aca="false">AL10</f>
        <v>101.168772653032</v>
      </c>
    </row>
    <row r="21" customFormat="false" ht="15" hidden="false" customHeight="false" outlineLevel="0" collapsed="false">
      <c r="B21" s="3" t="s">
        <v>157</v>
      </c>
      <c r="C21" s="24" t="n">
        <f aca="false">C19*Assumptions!$B$36</f>
        <v>0</v>
      </c>
      <c r="D21" s="24" t="n">
        <f aca="false">D19*Assumptions!$B$36</f>
        <v>0.18</v>
      </c>
      <c r="E21" s="24" t="n">
        <f aca="false">E19*Assumptions!$B$36</f>
        <v>0.369</v>
      </c>
      <c r="F21" s="24" t="n">
        <f aca="false">F19*Assumptions!$B$36</f>
        <v>0.56835</v>
      </c>
      <c r="G21" s="24" t="n">
        <f aca="false">G19*Assumptions!$B$36</f>
        <v>0.7795125</v>
      </c>
      <c r="H21" s="24" t="n">
        <f aca="false">H19*Assumptions!$B$36</f>
        <v>1.004074875</v>
      </c>
      <c r="I21" s="24" t="n">
        <f aca="false">I19*Assumptions!$B$36</f>
        <v>1.24376293125</v>
      </c>
      <c r="J21" s="24" t="n">
        <f aca="false">J19*Assumptions!$B$36</f>
        <v>1.5004557646875</v>
      </c>
      <c r="K21" s="24" t="n">
        <f aca="false">K19*Assumptions!$B$36</f>
        <v>1.77620205445313</v>
      </c>
      <c r="L21" s="24" t="n">
        <f aca="false">L19*Assumptions!$B$36</f>
        <v>2.07323793753047</v>
      </c>
      <c r="M21" s="24" t="n">
        <f aca="false">M19*Assumptions!$B$36</f>
        <v>2.39400662503395</v>
      </c>
      <c r="N21" s="24" t="n">
        <f aca="false">N19*Assumptions!$B$36</f>
        <v>2.74117993660025</v>
      </c>
      <c r="O21" s="24" t="n">
        <f aca="false">O19*Assumptions!$B$36</f>
        <v>3.11768194687004</v>
      </c>
      <c r="P21" s="24" t="n">
        <f aca="false">P19*Assumptions!$B$36</f>
        <v>3.52671495733632</v>
      </c>
      <c r="Q21" s="24" t="n">
        <f aca="false">Q19*Assumptions!$B$36</f>
        <v>3.97178802806026</v>
      </c>
      <c r="R21" s="24" t="n">
        <f aca="false">R19*Assumptions!$B$36</f>
        <v>4.45674832710708</v>
      </c>
      <c r="S21" s="24" t="n">
        <f aca="false">S19*Assumptions!$B$36</f>
        <v>4.98581558124654</v>
      </c>
      <c r="T21" s="24" t="n">
        <f aca="false">T19*Assumptions!$B$36</f>
        <v>5.56361993972852</v>
      </c>
      <c r="U21" s="24" t="n">
        <f aca="false">U19*Assumptions!$B$36</f>
        <v>6.19524359404082</v>
      </c>
      <c r="V21" s="24" t="n">
        <f aca="false">V19*Assumptions!$B$36</f>
        <v>6.88626653076738</v>
      </c>
      <c r="W21" s="24" t="n">
        <f aca="false">W19*Assumptions!$B$36</f>
        <v>7.64281683230048</v>
      </c>
      <c r="X21" s="24" t="n">
        <f aca="false">X19*Assumptions!$B$36</f>
        <v>8.47162598156406</v>
      </c>
      <c r="Y21" s="24" t="n">
        <f aca="false">Y19*Assumptions!$B$36</f>
        <v>9.38008967245233</v>
      </c>
      <c r="Z21" s="24" t="n">
        <f aca="false">Z19*Assumptions!$B$36</f>
        <v>10.3763346777928</v>
      </c>
      <c r="AA21" s="24" t="n">
        <f aca="false">AA19*Assumptions!$B$36</f>
        <v>11.4692923817626</v>
      </c>
      <c r="AB21" s="24" t="n">
        <f aca="false">AB19*Assumptions!$B$36</f>
        <v>12.6687796443199</v>
      </c>
      <c r="AC21" s="24" t="n">
        <f aca="false">AC19*Assumptions!$B$36</f>
        <v>13.9855877319138</v>
      </c>
      <c r="AD21" s="24" t="n">
        <f aca="false">AD19*Assumptions!$B$36</f>
        <v>15.431580122109</v>
      </c>
      <c r="AE21" s="24" t="n">
        <f aca="false">AE19*Assumptions!$B$36</f>
        <v>17.0198000704735</v>
      </c>
      <c r="AF21" s="24" t="n">
        <f aca="false">AF19*Assumptions!$B$36</f>
        <v>18.7645889168669</v>
      </c>
      <c r="AG21" s="24" t="n">
        <f aca="false">AG19*Assumptions!$B$36</f>
        <v>20.6817162059322</v>
      </c>
      <c r="AH21" s="24" t="n">
        <f aca="false">AH19*Assumptions!$B$36</f>
        <v>22.7885228040351</v>
      </c>
      <c r="AI21" s="24" t="n">
        <f aca="false">AI19*Assumptions!$B$36</f>
        <v>25.1040783130729</v>
      </c>
      <c r="AJ21" s="24" t="n">
        <f aca="false">AJ19*Assumptions!$B$36</f>
        <v>27.6493542115827</v>
      </c>
      <c r="AK21" s="24" t="n">
        <f aca="false">AK19*Assumptions!$B$36</f>
        <v>30.4474142965834</v>
      </c>
      <c r="AL21" s="24" t="n">
        <f aca="false">AL19*Assumptions!$B$36</f>
        <v>33.523624156892</v>
      </c>
    </row>
    <row r="22" customFormat="false" ht="15" hidden="false" customHeight="false" outlineLevel="0" collapsed="false">
      <c r="B22" s="3" t="s">
        <v>158</v>
      </c>
      <c r="C22" s="24" t="n">
        <f aca="false">C19+C20-C21</f>
        <v>3.6</v>
      </c>
      <c r="D22" s="24" t="n">
        <f aca="false">D19+D20-D21</f>
        <v>7.38</v>
      </c>
      <c r="E22" s="24" t="n">
        <f aca="false">E19+E20-E21</f>
        <v>11.367</v>
      </c>
      <c r="F22" s="24" t="n">
        <f aca="false">F19+F20-F21</f>
        <v>15.59025</v>
      </c>
      <c r="G22" s="24" t="n">
        <f aca="false">G19+G20-G21</f>
        <v>20.0814975</v>
      </c>
      <c r="H22" s="24" t="n">
        <f aca="false">H19+H20-H21</f>
        <v>24.875258625</v>
      </c>
      <c r="I22" s="24" t="n">
        <f aca="false">I19+I20-I21</f>
        <v>30.00911529375</v>
      </c>
      <c r="J22" s="24" t="n">
        <f aca="false">J19+J20-J21</f>
        <v>35.5240410890625</v>
      </c>
      <c r="K22" s="24" t="n">
        <f aca="false">K19+K20-K21</f>
        <v>41.4647587506094</v>
      </c>
      <c r="L22" s="24" t="n">
        <f aca="false">L19+L20-L21</f>
        <v>47.8801325006789</v>
      </c>
      <c r="M22" s="24" t="n">
        <f aca="false">M19+M20-M21</f>
        <v>54.823598732005</v>
      </c>
      <c r="N22" s="24" t="n">
        <f aca="false">N19+N20-N21</f>
        <v>62.3536389374007</v>
      </c>
      <c r="O22" s="24" t="n">
        <f aca="false">O19+O20-O21</f>
        <v>70.5342991467263</v>
      </c>
      <c r="P22" s="24" t="n">
        <f aca="false">P19+P20-P21</f>
        <v>79.4357605612052</v>
      </c>
      <c r="Q22" s="24" t="n">
        <f aca="false">Q19+Q20-Q21</f>
        <v>89.1349665421416</v>
      </c>
      <c r="R22" s="24" t="n">
        <f aca="false">R19+R20-R21</f>
        <v>99.7163116249309</v>
      </c>
      <c r="S22" s="24" t="n">
        <f aca="false">S19+S20-S21</f>
        <v>111.27239879457</v>
      </c>
      <c r="T22" s="24" t="n">
        <f aca="false">T19+T20-T21</f>
        <v>123.904871880816</v>
      </c>
      <c r="U22" s="24" t="n">
        <f aca="false">U19+U20-U21</f>
        <v>137.725330615348</v>
      </c>
      <c r="V22" s="24" t="n">
        <f aca="false">V19+V20-V21</f>
        <v>152.85633664601</v>
      </c>
      <c r="W22" s="24" t="n">
        <f aca="false">W19+W20-W21</f>
        <v>169.432519631281</v>
      </c>
      <c r="X22" s="24" t="n">
        <f aca="false">X19+X20-X21</f>
        <v>187.601793449047</v>
      </c>
      <c r="Y22" s="24" t="n">
        <f aca="false">Y19+Y20-Y21</f>
        <v>207.526693555857</v>
      </c>
      <c r="Z22" s="24" t="n">
        <f aca="false">Z19+Z20-Z21</f>
        <v>229.385847635252</v>
      </c>
      <c r="AA22" s="24" t="n">
        <f aca="false">AA19+AA20-AA21</f>
        <v>253.375592886397</v>
      </c>
      <c r="AB22" s="24" t="n">
        <f aca="false">AB19+AB20-AB21</f>
        <v>279.711754638276</v>
      </c>
      <c r="AC22" s="24" t="n">
        <f aca="false">AC19+AC20-AC21</f>
        <v>308.63160244218</v>
      </c>
      <c r="AD22" s="24" t="n">
        <f aca="false">AD19+AD20-AD21</f>
        <v>340.396001409471</v>
      </c>
      <c r="AE22" s="24" t="n">
        <f aca="false">AE19+AE20-AE21</f>
        <v>375.291778337337</v>
      </c>
      <c r="AF22" s="24" t="n">
        <f aca="false">AF19+AF20-AF21</f>
        <v>413.634324118644</v>
      </c>
      <c r="AG22" s="24" t="n">
        <f aca="false">AG19+AG20-AG21</f>
        <v>455.770456080703</v>
      </c>
      <c r="AH22" s="24" t="n">
        <f aca="false">AH19+AH20-AH21</f>
        <v>502.081566261458</v>
      </c>
      <c r="AI22" s="24" t="n">
        <f aca="false">AI19+AI20-AI21</f>
        <v>552.987084231654</v>
      </c>
      <c r="AJ22" s="24" t="n">
        <f aca="false">AJ19+AJ20-AJ21</f>
        <v>608.948285931668</v>
      </c>
      <c r="AK22" s="24" t="n">
        <f aca="false">AK19+AK20-AK21</f>
        <v>670.472483137841</v>
      </c>
      <c r="AL22" s="24" t="n">
        <f aca="false">AL19+AL20-AL21</f>
        <v>738.11763163398</v>
      </c>
    </row>
    <row r="24" customFormat="false" ht="15" hidden="false" customHeight="false" outlineLevel="0" collapsed="false">
      <c r="B24" s="2" t="s">
        <v>160</v>
      </c>
      <c r="C24" s="24" t="n">
        <v>0</v>
      </c>
      <c r="D24" s="24" t="n">
        <f aca="false">C27</f>
        <v>1.2</v>
      </c>
      <c r="E24" s="24" t="n">
        <f aca="false">D27</f>
        <v>2.484</v>
      </c>
      <c r="F24" s="24" t="n">
        <f aca="false">E27</f>
        <v>3.86148</v>
      </c>
      <c r="G24" s="24" t="n">
        <f aca="false">F27</f>
        <v>5.3428356</v>
      </c>
      <c r="H24" s="24" t="n">
        <f aca="false">G27</f>
        <v>6.939470532</v>
      </c>
      <c r="I24" s="24" t="n">
        <f aca="false">H27</f>
        <v>8.66389841604</v>
      </c>
      <c r="J24" s="24" t="n">
        <f aca="false">I27</f>
        <v>10.5298546635588</v>
      </c>
      <c r="K24" s="24" t="n">
        <f aca="false">J27</f>
        <v>12.552419543652</v>
      </c>
      <c r="L24" s="24" t="n">
        <f aca="false">K27</f>
        <v>14.7481535293425</v>
      </c>
      <c r="M24" s="24" t="n">
        <f aca="false">L27</f>
        <v>17.1352461526622</v>
      </c>
      <c r="N24" s="24" t="n">
        <f aca="false">M27</f>
        <v>19.7336797202023</v>
      </c>
      <c r="O24" s="24" t="n">
        <f aca="false">N27</f>
        <v>22.5654093759283</v>
      </c>
      <c r="P24" s="24" t="n">
        <f aca="false">O27</f>
        <v>25.6545611467156</v>
      </c>
      <c r="Q24" s="24" t="n">
        <f aca="false">P27</f>
        <v>29.0276497695859</v>
      </c>
      <c r="R24" s="24" t="n">
        <f aca="false">Q27</f>
        <v>32.7138182794972</v>
      </c>
      <c r="S24" s="24" t="n">
        <f aca="false">R27</f>
        <v>36.7451015344111</v>
      </c>
      <c r="T24" s="24" t="n">
        <f aca="false">S27</f>
        <v>41.1567160720074</v>
      </c>
      <c r="U24" s="24" t="n">
        <f aca="false">T27</f>
        <v>45.9873789318387</v>
      </c>
      <c r="V24" s="24" t="n">
        <f aca="false">U27</f>
        <v>51.2796583400742</v>
      </c>
      <c r="W24" s="24" t="n">
        <f aca="false">V27</f>
        <v>57.0803594436818</v>
      </c>
      <c r="X24" s="24" t="n">
        <f aca="false">W27</f>
        <v>63.440948599562</v>
      </c>
      <c r="Y24" s="24" t="n">
        <f aca="false">X27</f>
        <v>70.418020074685</v>
      </c>
      <c r="Z24" s="24" t="n">
        <f aca="false">Y27</f>
        <v>78.0738093988652</v>
      </c>
      <c r="AA24" s="24" t="n">
        <f aca="false">Z27</f>
        <v>86.4767580359621</v>
      </c>
      <c r="AB24" s="24" t="n">
        <f aca="false">AA27</f>
        <v>95.7021345058524</v>
      </c>
      <c r="AC24" s="24" t="n">
        <f aca="false">AB27</f>
        <v>105.832717602743</v>
      </c>
      <c r="AD24" s="24" t="n">
        <f aca="false">AC27</f>
        <v>116.959547919933</v>
      </c>
      <c r="AE24" s="24" t="n">
        <f aca="false">AD27</f>
        <v>129.182754512135</v>
      </c>
      <c r="AF24" s="24" t="n">
        <f aca="false">AE27</f>
        <v>142.612464209551</v>
      </c>
      <c r="AG24" s="24" t="n">
        <f aca="false">AF27</f>
        <v>157.369801849323</v>
      </c>
      <c r="AH24" s="24" t="n">
        <f aca="false">AG27</f>
        <v>173.587990516507</v>
      </c>
      <c r="AI24" s="24" t="n">
        <f aca="false">AH27</f>
        <v>191.413561795942</v>
      </c>
      <c r="AJ24" s="24" t="n">
        <f aca="false">AI27</f>
        <v>211.007687036486</v>
      </c>
      <c r="AK24" s="24" t="n">
        <f aca="false">AJ27</f>
        <v>232.547641729257</v>
      </c>
      <c r="AL24" s="24" t="n">
        <f aca="false">AK27</f>
        <v>256.228416311631</v>
      </c>
    </row>
    <row r="25" customFormat="false" ht="15" hidden="false" customHeight="false" outlineLevel="0" collapsed="false">
      <c r="B25" s="3" t="s">
        <v>156</v>
      </c>
      <c r="C25" s="24" t="n">
        <f aca="false">C11</f>
        <v>1.2</v>
      </c>
      <c r="D25" s="24" t="n">
        <f aca="false">D11</f>
        <v>1.32</v>
      </c>
      <c r="E25" s="24" t="n">
        <f aca="false">E11</f>
        <v>1.452</v>
      </c>
      <c r="F25" s="24" t="n">
        <f aca="false">F11</f>
        <v>1.5972</v>
      </c>
      <c r="G25" s="24" t="n">
        <f aca="false">G11</f>
        <v>1.75692</v>
      </c>
      <c r="H25" s="24" t="n">
        <f aca="false">H11</f>
        <v>1.932612</v>
      </c>
      <c r="I25" s="24" t="n">
        <f aca="false">I11</f>
        <v>2.1258732</v>
      </c>
      <c r="J25" s="24" t="n">
        <f aca="false">J11</f>
        <v>2.33846052</v>
      </c>
      <c r="K25" s="24" t="n">
        <f aca="false">K11</f>
        <v>2.572306572</v>
      </c>
      <c r="L25" s="24" t="n">
        <f aca="false">L11</f>
        <v>2.8295372292</v>
      </c>
      <c r="M25" s="24" t="n">
        <f aca="false">M11</f>
        <v>3.11249095212</v>
      </c>
      <c r="N25" s="24" t="n">
        <f aca="false">N11</f>
        <v>3.423740047332</v>
      </c>
      <c r="O25" s="24" t="n">
        <f aca="false">O11</f>
        <v>3.7661140520652</v>
      </c>
      <c r="P25" s="24" t="n">
        <f aca="false">P11</f>
        <v>4.14272545727172</v>
      </c>
      <c r="Q25" s="24" t="n">
        <f aca="false">Q11</f>
        <v>4.5569980029989</v>
      </c>
      <c r="R25" s="24" t="n">
        <f aca="false">R11</f>
        <v>5.01269780329879</v>
      </c>
      <c r="S25" s="24" t="n">
        <f aca="false">S11</f>
        <v>5.51396758362866</v>
      </c>
      <c r="T25" s="24" t="n">
        <f aca="false">T11</f>
        <v>6.06536434199153</v>
      </c>
      <c r="U25" s="24" t="n">
        <f aca="false">U11</f>
        <v>6.67190077619069</v>
      </c>
      <c r="V25" s="24" t="n">
        <f aca="false">V11</f>
        <v>7.33909085380975</v>
      </c>
      <c r="W25" s="24" t="n">
        <f aca="false">W11</f>
        <v>8.07299993919073</v>
      </c>
      <c r="X25" s="24" t="n">
        <f aca="false">X11</f>
        <v>8.8802999331098</v>
      </c>
      <c r="Y25" s="24" t="n">
        <f aca="false">Y11</f>
        <v>9.76832992642079</v>
      </c>
      <c r="Z25" s="24" t="n">
        <f aca="false">Z11</f>
        <v>10.7451629190629</v>
      </c>
      <c r="AA25" s="24" t="n">
        <f aca="false">AA11</f>
        <v>11.8196792109692</v>
      </c>
      <c r="AB25" s="24" t="n">
        <f aca="false">AB11</f>
        <v>13.0016471320661</v>
      </c>
      <c r="AC25" s="24" t="n">
        <f aca="false">AC11</f>
        <v>14.3018118452727</v>
      </c>
      <c r="AD25" s="24" t="n">
        <f aca="false">AD11</f>
        <v>15.7319930297999</v>
      </c>
      <c r="AE25" s="24" t="n">
        <f aca="false">AE11</f>
        <v>17.3051923327799</v>
      </c>
      <c r="AF25" s="24" t="n">
        <f aca="false">AF11</f>
        <v>19.0357115660579</v>
      </c>
      <c r="AG25" s="24" t="n">
        <f aca="false">AG11</f>
        <v>20.9392827226637</v>
      </c>
      <c r="AH25" s="24" t="n">
        <f aca="false">AH11</f>
        <v>23.0332109949301</v>
      </c>
      <c r="AI25" s="24" t="n">
        <f aca="false">AI11</f>
        <v>25.3365320944231</v>
      </c>
      <c r="AJ25" s="24" t="n">
        <f aca="false">AJ11</f>
        <v>27.8701853038654</v>
      </c>
      <c r="AK25" s="24" t="n">
        <f aca="false">AK11</f>
        <v>30.657203834252</v>
      </c>
      <c r="AL25" s="24" t="n">
        <f aca="false">AL11</f>
        <v>33.7229242176772</v>
      </c>
    </row>
    <row r="26" customFormat="false" ht="15" hidden="false" customHeight="false" outlineLevel="0" collapsed="false">
      <c r="B26" s="3" t="s">
        <v>157</v>
      </c>
      <c r="C26" s="24" t="n">
        <f aca="false">C24*Assumptions!$B$37</f>
        <v>0</v>
      </c>
      <c r="D26" s="24" t="n">
        <f aca="false">D24*Assumptions!$B$37</f>
        <v>0.036</v>
      </c>
      <c r="E26" s="24" t="n">
        <f aca="false">E24*Assumptions!$B$37</f>
        <v>0.07452</v>
      </c>
      <c r="F26" s="24" t="n">
        <f aca="false">F24*Assumptions!$B$37</f>
        <v>0.1158444</v>
      </c>
      <c r="G26" s="24" t="n">
        <f aca="false">G24*Assumptions!$B$37</f>
        <v>0.160285068</v>
      </c>
      <c r="H26" s="24" t="n">
        <f aca="false">H24*Assumptions!$B$37</f>
        <v>0.20818411596</v>
      </c>
      <c r="I26" s="24" t="n">
        <f aca="false">I24*Assumptions!$B$37</f>
        <v>0.2599169524812</v>
      </c>
      <c r="J26" s="24" t="n">
        <f aca="false">J24*Assumptions!$B$37</f>
        <v>0.315895639906764</v>
      </c>
      <c r="K26" s="24" t="n">
        <f aca="false">K24*Assumptions!$B$37</f>
        <v>0.376572586309561</v>
      </c>
      <c r="L26" s="24" t="n">
        <f aca="false">L24*Assumptions!$B$37</f>
        <v>0.442444605880274</v>
      </c>
      <c r="M26" s="24" t="n">
        <f aca="false">M24*Assumptions!$B$37</f>
        <v>0.514057384579866</v>
      </c>
      <c r="N26" s="24" t="n">
        <f aca="false">N24*Assumptions!$B$37</f>
        <v>0.59201039160607</v>
      </c>
      <c r="O26" s="24" t="n">
        <f aca="false">O24*Assumptions!$B$37</f>
        <v>0.676962281277848</v>
      </c>
      <c r="P26" s="24" t="n">
        <f aca="false">P24*Assumptions!$B$37</f>
        <v>0.769636834401469</v>
      </c>
      <c r="Q26" s="24" t="n">
        <f aca="false">Q24*Assumptions!$B$37</f>
        <v>0.870829493087576</v>
      </c>
      <c r="R26" s="24" t="n">
        <f aca="false">R24*Assumptions!$B$37</f>
        <v>0.981414548384916</v>
      </c>
      <c r="S26" s="24" t="n">
        <f aca="false">S24*Assumptions!$B$37</f>
        <v>1.10235304603233</v>
      </c>
      <c r="T26" s="24" t="n">
        <f aca="false">T24*Assumptions!$B$37</f>
        <v>1.23470148216022</v>
      </c>
      <c r="U26" s="24" t="n">
        <f aca="false">U24*Assumptions!$B$37</f>
        <v>1.37962136795516</v>
      </c>
      <c r="V26" s="24" t="n">
        <f aca="false">V24*Assumptions!$B$37</f>
        <v>1.53838975020223</v>
      </c>
      <c r="W26" s="24" t="n">
        <f aca="false">W24*Assumptions!$B$37</f>
        <v>1.71241078331045</v>
      </c>
      <c r="X26" s="24" t="n">
        <f aca="false">X24*Assumptions!$B$37</f>
        <v>1.90322845798686</v>
      </c>
      <c r="Y26" s="24" t="n">
        <f aca="false">Y24*Assumptions!$B$37</f>
        <v>2.11254060224055</v>
      </c>
      <c r="Z26" s="24" t="n">
        <f aca="false">Z24*Assumptions!$B$37</f>
        <v>2.34221428196596</v>
      </c>
      <c r="AA26" s="24" t="n">
        <f aca="false">AA24*Assumptions!$B$37</f>
        <v>2.59430274107886</v>
      </c>
      <c r="AB26" s="24" t="n">
        <f aca="false">AB24*Assumptions!$B$37</f>
        <v>2.87106403517557</v>
      </c>
      <c r="AC26" s="24" t="n">
        <f aca="false">AC24*Assumptions!$B$37</f>
        <v>3.17498152808229</v>
      </c>
      <c r="AD26" s="24" t="n">
        <f aca="false">AD24*Assumptions!$B$37</f>
        <v>3.508786437598</v>
      </c>
      <c r="AE26" s="24" t="n">
        <f aca="false">AE24*Assumptions!$B$37</f>
        <v>3.87548263536406</v>
      </c>
      <c r="AF26" s="24" t="n">
        <f aca="false">AF24*Assumptions!$B$37</f>
        <v>4.27837392628653</v>
      </c>
      <c r="AG26" s="24" t="n">
        <f aca="false">AG24*Assumptions!$B$37</f>
        <v>4.72109405547968</v>
      </c>
      <c r="AH26" s="24" t="n">
        <f aca="false">AH24*Assumptions!$B$37</f>
        <v>5.2076397154952</v>
      </c>
      <c r="AI26" s="24" t="n">
        <f aca="false">AI24*Assumptions!$B$37</f>
        <v>5.74240685387824</v>
      </c>
      <c r="AJ26" s="24" t="n">
        <f aca="false">AJ24*Assumptions!$B$37</f>
        <v>6.33023061109459</v>
      </c>
      <c r="AK26" s="24" t="n">
        <f aca="false">AK24*Assumptions!$B$37</f>
        <v>6.97642925187772</v>
      </c>
      <c r="AL26" s="24" t="n">
        <f aca="false">AL24*Assumptions!$B$37</f>
        <v>7.68685248934894</v>
      </c>
    </row>
    <row r="27" customFormat="false" ht="15" hidden="false" customHeight="false" outlineLevel="0" collapsed="false">
      <c r="B27" s="3" t="s">
        <v>158</v>
      </c>
      <c r="C27" s="24" t="n">
        <f aca="false">C24+C25-C26</f>
        <v>1.2</v>
      </c>
      <c r="D27" s="24" t="n">
        <f aca="false">D24+D25-D26</f>
        <v>2.484</v>
      </c>
      <c r="E27" s="24" t="n">
        <f aca="false">E24+E25-E26</f>
        <v>3.86148</v>
      </c>
      <c r="F27" s="24" t="n">
        <f aca="false">F24+F25-F26</f>
        <v>5.3428356</v>
      </c>
      <c r="G27" s="24" t="n">
        <f aca="false">G24+G25-G26</f>
        <v>6.939470532</v>
      </c>
      <c r="H27" s="24" t="n">
        <f aca="false">H24+H25-H26</f>
        <v>8.66389841604</v>
      </c>
      <c r="I27" s="24" t="n">
        <f aca="false">I24+I25-I26</f>
        <v>10.5298546635588</v>
      </c>
      <c r="J27" s="24" t="n">
        <f aca="false">J24+J25-J26</f>
        <v>12.552419543652</v>
      </c>
      <c r="K27" s="24" t="n">
        <f aca="false">K24+K25-K26</f>
        <v>14.7481535293425</v>
      </c>
      <c r="L27" s="24" t="n">
        <f aca="false">L24+L25-L26</f>
        <v>17.1352461526622</v>
      </c>
      <c r="M27" s="24" t="n">
        <f aca="false">M24+M25-M26</f>
        <v>19.7336797202023</v>
      </c>
      <c r="N27" s="24" t="n">
        <f aca="false">N24+N25-N26</f>
        <v>22.5654093759283</v>
      </c>
      <c r="O27" s="24" t="n">
        <f aca="false">O24+O25-O26</f>
        <v>25.6545611467156</v>
      </c>
      <c r="P27" s="24" t="n">
        <f aca="false">P24+P25-P26</f>
        <v>29.0276497695859</v>
      </c>
      <c r="Q27" s="24" t="n">
        <f aca="false">Q24+Q25-Q26</f>
        <v>32.7138182794972</v>
      </c>
      <c r="R27" s="24" t="n">
        <f aca="false">R24+R25-R26</f>
        <v>36.7451015344111</v>
      </c>
      <c r="S27" s="24" t="n">
        <f aca="false">S24+S25-S26</f>
        <v>41.1567160720074</v>
      </c>
      <c r="T27" s="24" t="n">
        <f aca="false">T24+T25-T26</f>
        <v>45.9873789318387</v>
      </c>
      <c r="U27" s="24" t="n">
        <f aca="false">U24+U25-U26</f>
        <v>51.2796583400742</v>
      </c>
      <c r="V27" s="24" t="n">
        <f aca="false">V24+V25-V26</f>
        <v>57.0803594436818</v>
      </c>
      <c r="W27" s="24" t="n">
        <f aca="false">W24+W25-W26</f>
        <v>63.440948599562</v>
      </c>
      <c r="X27" s="24" t="n">
        <f aca="false">X24+X25-X26</f>
        <v>70.418020074685</v>
      </c>
      <c r="Y27" s="24" t="n">
        <f aca="false">Y24+Y25-Y26</f>
        <v>78.0738093988652</v>
      </c>
      <c r="Z27" s="24" t="n">
        <f aca="false">Z24+Z25-Z26</f>
        <v>86.4767580359621</v>
      </c>
      <c r="AA27" s="24" t="n">
        <f aca="false">AA24+AA25-AA26</f>
        <v>95.7021345058524</v>
      </c>
      <c r="AB27" s="24" t="n">
        <f aca="false">AB24+AB25-AB26</f>
        <v>105.832717602743</v>
      </c>
      <c r="AC27" s="24" t="n">
        <f aca="false">AC24+AC25-AC26</f>
        <v>116.959547919933</v>
      </c>
      <c r="AD27" s="24" t="n">
        <f aca="false">AD24+AD25-AD26</f>
        <v>129.182754512135</v>
      </c>
      <c r="AE27" s="24" t="n">
        <f aca="false">AE24+AE25-AE26</f>
        <v>142.612464209551</v>
      </c>
      <c r="AF27" s="24" t="n">
        <f aca="false">AF24+AF25-AF26</f>
        <v>157.369801849323</v>
      </c>
      <c r="AG27" s="24" t="n">
        <f aca="false">AG24+AG25-AG26</f>
        <v>173.587990516507</v>
      </c>
      <c r="AH27" s="24" t="n">
        <f aca="false">AH24+AH25-AH26</f>
        <v>191.413561795942</v>
      </c>
      <c r="AI27" s="24" t="n">
        <f aca="false">AI24+AI25-AI26</f>
        <v>211.007687036486</v>
      </c>
      <c r="AJ27" s="24" t="n">
        <f aca="false">AJ24+AJ25-AJ26</f>
        <v>232.547641729257</v>
      </c>
      <c r="AK27" s="24" t="n">
        <f aca="false">AK24+AK25-AK26</f>
        <v>256.228416311631</v>
      </c>
      <c r="AL27" s="24" t="n">
        <f aca="false">AL24+AL25-AL26</f>
        <v>282.26448803996</v>
      </c>
    </row>
    <row r="29" customFormat="false" ht="15" hidden="false" customHeight="false" outlineLevel="0" collapsed="false">
      <c r="B29" s="2" t="s">
        <v>161</v>
      </c>
      <c r="C29" s="25" t="n">
        <f aca="false">Assumptions!$B$22</f>
        <v>11</v>
      </c>
      <c r="D29" s="24" t="n">
        <f aca="false">C31</f>
        <v>10.67</v>
      </c>
      <c r="E29" s="24" t="n">
        <f aca="false">D31</f>
        <v>10.3499</v>
      </c>
      <c r="F29" s="24" t="n">
        <f aca="false">E31</f>
        <v>10.039403</v>
      </c>
      <c r="G29" s="24" t="n">
        <f aca="false">F31</f>
        <v>9.73822091</v>
      </c>
      <c r="H29" s="24" t="n">
        <f aca="false">G31</f>
        <v>9.4460742827</v>
      </c>
      <c r="I29" s="24" t="n">
        <f aca="false">H31</f>
        <v>9.162692054219</v>
      </c>
      <c r="J29" s="24" t="n">
        <f aca="false">I31</f>
        <v>8.88781129259243</v>
      </c>
      <c r="K29" s="24" t="n">
        <f aca="false">J31</f>
        <v>8.62117695381466</v>
      </c>
      <c r="L29" s="24" t="n">
        <f aca="false">K31</f>
        <v>8.36254164520022</v>
      </c>
      <c r="M29" s="24" t="n">
        <f aca="false">L31</f>
        <v>8.11166539584421</v>
      </c>
      <c r="N29" s="24" t="n">
        <f aca="false">M31</f>
        <v>7.86831543396889</v>
      </c>
      <c r="O29" s="24" t="n">
        <f aca="false">N31</f>
        <v>7.63226597094982</v>
      </c>
      <c r="P29" s="24" t="n">
        <f aca="false">O31</f>
        <v>7.40329799182132</v>
      </c>
      <c r="Q29" s="24" t="n">
        <f aca="false">P31</f>
        <v>7.18119905206669</v>
      </c>
      <c r="R29" s="24" t="n">
        <f aca="false">Q31</f>
        <v>6.96576308050468</v>
      </c>
      <c r="S29" s="24" t="n">
        <f aca="false">R31</f>
        <v>6.75679018808954</v>
      </c>
      <c r="T29" s="24" t="n">
        <f aca="false">S31</f>
        <v>6.55408648244686</v>
      </c>
      <c r="U29" s="24" t="n">
        <f aca="false">T31</f>
        <v>6.35746388797345</v>
      </c>
      <c r="V29" s="24" t="n">
        <f aca="false">U31</f>
        <v>6.16673997133425</v>
      </c>
      <c r="W29" s="24" t="n">
        <f aca="false">V31</f>
        <v>5.98173777219422</v>
      </c>
      <c r="X29" s="24" t="n">
        <f aca="false">W31</f>
        <v>5.80228563902839</v>
      </c>
      <c r="Y29" s="24" t="n">
        <f aca="false">X31</f>
        <v>5.62821706985754</v>
      </c>
      <c r="Z29" s="24" t="n">
        <f aca="false">Y31</f>
        <v>5.45937055776182</v>
      </c>
      <c r="AA29" s="24" t="n">
        <f aca="false">Z31</f>
        <v>5.29558944102896</v>
      </c>
      <c r="AB29" s="24" t="n">
        <f aca="false">AA31</f>
        <v>5.13672175779809</v>
      </c>
      <c r="AC29" s="24" t="n">
        <f aca="false">AB31</f>
        <v>4.98262010506415</v>
      </c>
      <c r="AD29" s="24" t="n">
        <f aca="false">AC31</f>
        <v>4.83314150191223</v>
      </c>
      <c r="AE29" s="24" t="n">
        <f aca="false">AD31</f>
        <v>4.68814725685486</v>
      </c>
      <c r="AF29" s="24" t="n">
        <f aca="false">AE31</f>
        <v>4.54750283914921</v>
      </c>
      <c r="AG29" s="24" t="n">
        <f aca="false">AF31</f>
        <v>4.41107775397474</v>
      </c>
      <c r="AH29" s="24" t="n">
        <f aca="false">AG31</f>
        <v>4.27874542135549</v>
      </c>
      <c r="AI29" s="24" t="n">
        <f aca="false">AH31</f>
        <v>4.15038305871483</v>
      </c>
      <c r="AJ29" s="24" t="n">
        <f aca="false">AI31</f>
        <v>4.02587156695338</v>
      </c>
      <c r="AK29" s="24" t="n">
        <f aca="false">AJ31</f>
        <v>3.90509541994478</v>
      </c>
      <c r="AL29" s="24" t="n">
        <f aca="false">AK31</f>
        <v>3.78794255734644</v>
      </c>
    </row>
    <row r="30" customFormat="false" ht="15" hidden="false" customHeight="false" outlineLevel="0" collapsed="false">
      <c r="B30" s="3" t="s">
        <v>157</v>
      </c>
      <c r="C30" s="24" t="n">
        <f aca="false">C29*Assumptions!$B$39</f>
        <v>0.33</v>
      </c>
      <c r="D30" s="24" t="n">
        <f aca="false">D29*Assumptions!$B$39</f>
        <v>0.3201</v>
      </c>
      <c r="E30" s="24" t="n">
        <f aca="false">E29*Assumptions!$B$39</f>
        <v>0.310497</v>
      </c>
      <c r="F30" s="24" t="n">
        <f aca="false">F29*Assumptions!$B$39</f>
        <v>0.30118209</v>
      </c>
      <c r="G30" s="24" t="n">
        <f aca="false">G29*Assumptions!$B$39</f>
        <v>0.2921466273</v>
      </c>
      <c r="H30" s="24" t="n">
        <f aca="false">H29*Assumptions!$B$39</f>
        <v>0.283382228481</v>
      </c>
      <c r="I30" s="24" t="n">
        <f aca="false">I29*Assumptions!$B$39</f>
        <v>0.27488076162657</v>
      </c>
      <c r="J30" s="24" t="n">
        <f aca="false">J29*Assumptions!$B$39</f>
        <v>0.266634338777773</v>
      </c>
      <c r="K30" s="24" t="n">
        <f aca="false">K29*Assumptions!$B$39</f>
        <v>0.25863530861444</v>
      </c>
      <c r="L30" s="24" t="n">
        <f aca="false">L29*Assumptions!$B$39</f>
        <v>0.250876249356007</v>
      </c>
      <c r="M30" s="24" t="n">
        <f aca="false">M29*Assumptions!$B$39</f>
        <v>0.243349961875326</v>
      </c>
      <c r="N30" s="24" t="n">
        <f aca="false">N29*Assumptions!$B$39</f>
        <v>0.236049463019067</v>
      </c>
      <c r="O30" s="24" t="n">
        <f aca="false">O29*Assumptions!$B$39</f>
        <v>0.228967979128495</v>
      </c>
      <c r="P30" s="24" t="n">
        <f aca="false">P29*Assumptions!$B$39</f>
        <v>0.22209893975464</v>
      </c>
      <c r="Q30" s="24" t="n">
        <f aca="false">Q29*Assumptions!$B$39</f>
        <v>0.215435971562001</v>
      </c>
      <c r="R30" s="24" t="n">
        <f aca="false">R29*Assumptions!$B$39</f>
        <v>0.208972892415141</v>
      </c>
      <c r="S30" s="24" t="n">
        <f aca="false">S29*Assumptions!$B$39</f>
        <v>0.202703705642686</v>
      </c>
      <c r="T30" s="24" t="n">
        <f aca="false">T29*Assumptions!$B$39</f>
        <v>0.196622594473406</v>
      </c>
      <c r="U30" s="24" t="n">
        <f aca="false">U29*Assumptions!$B$39</f>
        <v>0.190723916639204</v>
      </c>
      <c r="V30" s="24" t="n">
        <f aca="false">V29*Assumptions!$B$39</f>
        <v>0.185002199140027</v>
      </c>
      <c r="W30" s="24" t="n">
        <f aca="false">W29*Assumptions!$B$39</f>
        <v>0.179452133165827</v>
      </c>
      <c r="X30" s="24" t="n">
        <f aca="false">X29*Assumptions!$B$39</f>
        <v>0.174068569170852</v>
      </c>
      <c r="Y30" s="24" t="n">
        <f aca="false">Y29*Assumptions!$B$39</f>
        <v>0.168846512095726</v>
      </c>
      <c r="Z30" s="24" t="n">
        <f aca="false">Z29*Assumptions!$B$39</f>
        <v>0.163781116732854</v>
      </c>
      <c r="AA30" s="24" t="n">
        <f aca="false">AA29*Assumptions!$B$39</f>
        <v>0.158867683230869</v>
      </c>
      <c r="AB30" s="24" t="n">
        <f aca="false">AB29*Assumptions!$B$39</f>
        <v>0.154101652733943</v>
      </c>
      <c r="AC30" s="24" t="n">
        <f aca="false">AC29*Assumptions!$B$39</f>
        <v>0.149478603151924</v>
      </c>
      <c r="AD30" s="24" t="n">
        <f aca="false">AD29*Assumptions!$B$39</f>
        <v>0.144994245057367</v>
      </c>
      <c r="AE30" s="24" t="n">
        <f aca="false">AE29*Assumptions!$B$39</f>
        <v>0.140644417705646</v>
      </c>
      <c r="AF30" s="24" t="n">
        <f aca="false">AF29*Assumptions!$B$39</f>
        <v>0.136425085174476</v>
      </c>
      <c r="AG30" s="24" t="n">
        <f aca="false">AG29*Assumptions!$B$39</f>
        <v>0.132332332619242</v>
      </c>
      <c r="AH30" s="24" t="n">
        <f aca="false">AH29*Assumptions!$B$39</f>
        <v>0.128362362640665</v>
      </c>
      <c r="AI30" s="24" t="n">
        <f aca="false">AI29*Assumptions!$B$39</f>
        <v>0.124511491761445</v>
      </c>
      <c r="AJ30" s="24" t="n">
        <f aca="false">AJ29*Assumptions!$B$39</f>
        <v>0.120776147008602</v>
      </c>
      <c r="AK30" s="24" t="n">
        <f aca="false">AK29*Assumptions!$B$39</f>
        <v>0.117152862598343</v>
      </c>
      <c r="AL30" s="24" t="n">
        <f aca="false">AL29*Assumptions!$B$39</f>
        <v>0.113638276720393</v>
      </c>
    </row>
    <row r="31" customFormat="false" ht="15" hidden="false" customHeight="false" outlineLevel="0" collapsed="false">
      <c r="B31" s="3" t="s">
        <v>158</v>
      </c>
      <c r="C31" s="24" t="n">
        <f aca="false">C29-C30</f>
        <v>10.67</v>
      </c>
      <c r="D31" s="24" t="n">
        <f aca="false">D29-D30</f>
        <v>10.3499</v>
      </c>
      <c r="E31" s="24" t="n">
        <f aca="false">E29-E30</f>
        <v>10.039403</v>
      </c>
      <c r="F31" s="24" t="n">
        <f aca="false">F29-F30</f>
        <v>9.73822091</v>
      </c>
      <c r="G31" s="24" t="n">
        <f aca="false">G29-G30</f>
        <v>9.4460742827</v>
      </c>
      <c r="H31" s="24" t="n">
        <f aca="false">H29-H30</f>
        <v>9.162692054219</v>
      </c>
      <c r="I31" s="24" t="n">
        <f aca="false">I29-I30</f>
        <v>8.88781129259243</v>
      </c>
      <c r="J31" s="24" t="n">
        <f aca="false">J29-J30</f>
        <v>8.62117695381466</v>
      </c>
      <c r="K31" s="24" t="n">
        <f aca="false">K29-K30</f>
        <v>8.36254164520022</v>
      </c>
      <c r="L31" s="24" t="n">
        <f aca="false">L29-L30</f>
        <v>8.11166539584421</v>
      </c>
      <c r="M31" s="24" t="n">
        <f aca="false">M29-M30</f>
        <v>7.86831543396889</v>
      </c>
      <c r="N31" s="24" t="n">
        <f aca="false">N29-N30</f>
        <v>7.63226597094982</v>
      </c>
      <c r="O31" s="24" t="n">
        <f aca="false">O29-O30</f>
        <v>7.40329799182132</v>
      </c>
      <c r="P31" s="24" t="n">
        <f aca="false">P29-P30</f>
        <v>7.18119905206669</v>
      </c>
      <c r="Q31" s="24" t="n">
        <f aca="false">Q29-Q30</f>
        <v>6.96576308050468</v>
      </c>
      <c r="R31" s="24" t="n">
        <f aca="false">R29-R30</f>
        <v>6.75679018808954</v>
      </c>
      <c r="S31" s="24" t="n">
        <f aca="false">S29-S30</f>
        <v>6.55408648244686</v>
      </c>
      <c r="T31" s="24" t="n">
        <f aca="false">T29-T30</f>
        <v>6.35746388797345</v>
      </c>
      <c r="U31" s="24" t="n">
        <f aca="false">U29-U30</f>
        <v>6.16673997133425</v>
      </c>
      <c r="V31" s="24" t="n">
        <f aca="false">V29-V30</f>
        <v>5.98173777219422</v>
      </c>
      <c r="W31" s="24" t="n">
        <f aca="false">W29-W30</f>
        <v>5.80228563902839</v>
      </c>
      <c r="X31" s="24" t="n">
        <f aca="false">X29-X30</f>
        <v>5.62821706985754</v>
      </c>
      <c r="Y31" s="24" t="n">
        <f aca="false">Y29-Y30</f>
        <v>5.45937055776182</v>
      </c>
      <c r="Z31" s="24" t="n">
        <f aca="false">Z29-Z30</f>
        <v>5.29558944102896</v>
      </c>
      <c r="AA31" s="24" t="n">
        <f aca="false">AA29-AA30</f>
        <v>5.13672175779809</v>
      </c>
      <c r="AB31" s="24" t="n">
        <f aca="false">AB29-AB30</f>
        <v>4.98262010506415</v>
      </c>
      <c r="AC31" s="24" t="n">
        <f aca="false">AC29-AC30</f>
        <v>4.83314150191223</v>
      </c>
      <c r="AD31" s="24" t="n">
        <f aca="false">AD29-AD30</f>
        <v>4.68814725685486</v>
      </c>
      <c r="AE31" s="24" t="n">
        <f aca="false">AE29-AE30</f>
        <v>4.54750283914921</v>
      </c>
      <c r="AF31" s="24" t="n">
        <f aca="false">AF29-AF30</f>
        <v>4.41107775397474</v>
      </c>
      <c r="AG31" s="24" t="n">
        <f aca="false">AG29-AG30</f>
        <v>4.27874542135549</v>
      </c>
      <c r="AH31" s="24" t="n">
        <f aca="false">AH29-AH30</f>
        <v>4.15038305871483</v>
      </c>
      <c r="AI31" s="24" t="n">
        <f aca="false">AI29-AI30</f>
        <v>4.02587156695338</v>
      </c>
      <c r="AJ31" s="24" t="n">
        <f aca="false">AJ29-AJ30</f>
        <v>3.90509541994478</v>
      </c>
      <c r="AK31" s="24" t="n">
        <f aca="false">AK29-AK30</f>
        <v>3.78794255734644</v>
      </c>
      <c r="AL31" s="24" t="n">
        <f aca="false">AL29-AL30</f>
        <v>3.67430428062605</v>
      </c>
    </row>
    <row r="33" customFormat="false" ht="15" hidden="false" customHeight="false" outlineLevel="0" collapsed="false">
      <c r="B33" s="2" t="s">
        <v>162</v>
      </c>
      <c r="C33" s="26" t="n">
        <v>0</v>
      </c>
      <c r="D33" s="26" t="n">
        <v>0</v>
      </c>
      <c r="E33" s="26" t="n">
        <v>1</v>
      </c>
      <c r="F33" s="26" t="n">
        <v>0</v>
      </c>
      <c r="G33" s="26" t="n">
        <v>0</v>
      </c>
      <c r="H33" s="26" t="n">
        <v>0</v>
      </c>
      <c r="I33" s="26" t="n">
        <v>0</v>
      </c>
      <c r="J33" s="26" t="n">
        <v>0</v>
      </c>
      <c r="K33" s="26" t="n">
        <v>0</v>
      </c>
      <c r="L33" s="26" t="n">
        <v>0</v>
      </c>
      <c r="M33" s="26" t="n">
        <v>0</v>
      </c>
      <c r="N33" s="26" t="n">
        <v>0</v>
      </c>
      <c r="O33" s="26" t="n">
        <v>0</v>
      </c>
      <c r="P33" s="26" t="n">
        <v>0</v>
      </c>
      <c r="Q33" s="26" t="n">
        <v>0</v>
      </c>
      <c r="R33" s="26" t="n">
        <v>0</v>
      </c>
      <c r="S33" s="26" t="n">
        <v>0</v>
      </c>
      <c r="T33" s="26" t="n">
        <v>0</v>
      </c>
      <c r="U33" s="26" t="n">
        <v>0</v>
      </c>
      <c r="V33" s="26" t="n">
        <v>0</v>
      </c>
      <c r="W33" s="26" t="n">
        <v>0</v>
      </c>
      <c r="X33" s="26" t="n">
        <v>0</v>
      </c>
      <c r="Y33" s="26" t="n">
        <v>0</v>
      </c>
      <c r="Z33" s="26" t="n">
        <v>0</v>
      </c>
      <c r="AA33" s="26" t="n">
        <v>0</v>
      </c>
      <c r="AB33" s="26" t="n">
        <v>0</v>
      </c>
      <c r="AC33" s="26" t="n">
        <v>0</v>
      </c>
      <c r="AD33" s="26" t="n">
        <v>0</v>
      </c>
      <c r="AE33" s="26" t="n">
        <v>0</v>
      </c>
      <c r="AF33" s="26" t="n">
        <v>0</v>
      </c>
      <c r="AG33" s="26" t="n">
        <v>0</v>
      </c>
      <c r="AH33" s="26" t="n">
        <v>0</v>
      </c>
      <c r="AI33" s="26" t="n">
        <v>0</v>
      </c>
      <c r="AJ33" s="26" t="n">
        <v>0</v>
      </c>
      <c r="AK33" s="26" t="n">
        <v>0</v>
      </c>
      <c r="AL33" s="26" t="n">
        <v>0</v>
      </c>
      <c r="AN33" s="4" t="s">
        <v>163</v>
      </c>
    </row>
    <row r="34" customFormat="false" ht="15" hidden="false" customHeight="false" outlineLevel="0" collapsed="false">
      <c r="B34" s="3" t="s">
        <v>164</v>
      </c>
      <c r="C34" s="24" t="n">
        <v>0</v>
      </c>
      <c r="D34" s="24" t="n">
        <f aca="false">C36</f>
        <v>0</v>
      </c>
      <c r="E34" s="24" t="n">
        <f aca="false">D36</f>
        <v>0</v>
      </c>
      <c r="F34" s="24" t="n">
        <f aca="false">E36</f>
        <v>1</v>
      </c>
      <c r="G34" s="24" t="n">
        <f aca="false">F36</f>
        <v>0.99</v>
      </c>
      <c r="H34" s="24" t="n">
        <f aca="false">G36</f>
        <v>0.9801</v>
      </c>
      <c r="I34" s="24" t="n">
        <f aca="false">H36</f>
        <v>0.970299</v>
      </c>
      <c r="J34" s="24" t="n">
        <f aca="false">I36</f>
        <v>0.96059601</v>
      </c>
      <c r="K34" s="24" t="n">
        <f aca="false">J36</f>
        <v>0.9509900499</v>
      </c>
      <c r="L34" s="24" t="n">
        <f aca="false">K36</f>
        <v>0.941480149401</v>
      </c>
      <c r="M34" s="24" t="n">
        <f aca="false">L36</f>
        <v>0.93206534790699</v>
      </c>
      <c r="N34" s="24" t="n">
        <f aca="false">M36</f>
        <v>0.92274469442792</v>
      </c>
      <c r="O34" s="24" t="n">
        <f aca="false">N36</f>
        <v>0.913517247483641</v>
      </c>
      <c r="P34" s="24" t="n">
        <f aca="false">O36</f>
        <v>0.904382075008805</v>
      </c>
      <c r="Q34" s="24" t="n">
        <f aca="false">P36</f>
        <v>0.895338254258717</v>
      </c>
      <c r="R34" s="24" t="n">
        <f aca="false">Q36</f>
        <v>0.886384871716129</v>
      </c>
      <c r="S34" s="24" t="n">
        <f aca="false">R36</f>
        <v>0.877521022998968</v>
      </c>
      <c r="T34" s="24" t="n">
        <f aca="false">S36</f>
        <v>0.868745812768978</v>
      </c>
      <c r="U34" s="24" t="n">
        <f aca="false">T36</f>
        <v>0.860058354641289</v>
      </c>
      <c r="V34" s="24" t="n">
        <f aca="false">U36</f>
        <v>0.851457771094876</v>
      </c>
      <c r="W34" s="24" t="n">
        <f aca="false">V36</f>
        <v>0.842943193383927</v>
      </c>
      <c r="X34" s="24" t="n">
        <f aca="false">W36</f>
        <v>0.834513761450088</v>
      </c>
      <c r="Y34" s="24" t="n">
        <f aca="false">X36</f>
        <v>0.826168623835587</v>
      </c>
      <c r="Z34" s="24" t="n">
        <f aca="false">Y36</f>
        <v>0.817906937597231</v>
      </c>
      <c r="AA34" s="24" t="n">
        <f aca="false">Z36</f>
        <v>0.809727868221259</v>
      </c>
      <c r="AB34" s="24" t="n">
        <f aca="false">AA36</f>
        <v>0.801630589539046</v>
      </c>
      <c r="AC34" s="24" t="n">
        <f aca="false">AB36</f>
        <v>0.793614283643656</v>
      </c>
      <c r="AD34" s="24" t="n">
        <f aca="false">AC36</f>
        <v>0.785678140807219</v>
      </c>
      <c r="AE34" s="24" t="n">
        <f aca="false">AD36</f>
        <v>0.777821359399147</v>
      </c>
      <c r="AF34" s="24" t="n">
        <f aca="false">AE36</f>
        <v>0.770043145805155</v>
      </c>
      <c r="AG34" s="24" t="n">
        <f aca="false">AF36</f>
        <v>0.762342714347104</v>
      </c>
      <c r="AH34" s="24" t="n">
        <f aca="false">AG36</f>
        <v>0.754719287203633</v>
      </c>
      <c r="AI34" s="24" t="n">
        <f aca="false">AH36</f>
        <v>0.747172094331596</v>
      </c>
      <c r="AJ34" s="24" t="n">
        <f aca="false">AI36</f>
        <v>0.73970037338828</v>
      </c>
      <c r="AK34" s="24" t="n">
        <f aca="false">AJ36</f>
        <v>0.732303369654398</v>
      </c>
      <c r="AL34" s="24" t="n">
        <f aca="false">AK36</f>
        <v>0.724980335957854</v>
      </c>
    </row>
    <row r="35" customFormat="false" ht="15" hidden="false" customHeight="false" outlineLevel="0" collapsed="false">
      <c r="B35" s="3" t="s">
        <v>157</v>
      </c>
      <c r="C35" s="24" t="n">
        <f aca="false">C34*Assumptions!$B$38</f>
        <v>0</v>
      </c>
      <c r="D35" s="24" t="n">
        <f aca="false">D34*Assumptions!$B$38</f>
        <v>0</v>
      </c>
      <c r="E35" s="24" t="n">
        <f aca="false">E34*Assumptions!$B$38</f>
        <v>0</v>
      </c>
      <c r="F35" s="24" t="n">
        <f aca="false">F34*Assumptions!$B$38</f>
        <v>0.01</v>
      </c>
      <c r="G35" s="24" t="n">
        <f aca="false">G34*Assumptions!$B$38</f>
        <v>0.0099</v>
      </c>
      <c r="H35" s="24" t="n">
        <f aca="false">H34*Assumptions!$B$38</f>
        <v>0.009801</v>
      </c>
      <c r="I35" s="24" t="n">
        <f aca="false">I34*Assumptions!$B$38</f>
        <v>0.00970299</v>
      </c>
      <c r="J35" s="24" t="n">
        <f aca="false">J34*Assumptions!$B$38</f>
        <v>0.0096059601</v>
      </c>
      <c r="K35" s="24" t="n">
        <f aca="false">K34*Assumptions!$B$38</f>
        <v>0.009509900499</v>
      </c>
      <c r="L35" s="24" t="n">
        <f aca="false">L34*Assumptions!$B$38</f>
        <v>0.00941480149401</v>
      </c>
      <c r="M35" s="24" t="n">
        <f aca="false">M34*Assumptions!$B$38</f>
        <v>0.0093206534790699</v>
      </c>
      <c r="N35" s="24" t="n">
        <f aca="false">N34*Assumptions!$B$38</f>
        <v>0.0092274469442792</v>
      </c>
      <c r="O35" s="24" t="n">
        <f aca="false">O34*Assumptions!$B$38</f>
        <v>0.00913517247483641</v>
      </c>
      <c r="P35" s="24" t="n">
        <f aca="false">P34*Assumptions!$B$38</f>
        <v>0.00904382075008805</v>
      </c>
      <c r="Q35" s="24" t="n">
        <f aca="false">Q34*Assumptions!$B$38</f>
        <v>0.00895338254258717</v>
      </c>
      <c r="R35" s="24" t="n">
        <f aca="false">R34*Assumptions!$B$38</f>
        <v>0.00886384871716129</v>
      </c>
      <c r="S35" s="24" t="n">
        <f aca="false">S34*Assumptions!$B$38</f>
        <v>0.00877521022998968</v>
      </c>
      <c r="T35" s="24" t="n">
        <f aca="false">T34*Assumptions!$B$38</f>
        <v>0.00868745812768978</v>
      </c>
      <c r="U35" s="24" t="n">
        <f aca="false">U34*Assumptions!$B$38</f>
        <v>0.00860058354641289</v>
      </c>
      <c r="V35" s="24" t="n">
        <f aca="false">V34*Assumptions!$B$38</f>
        <v>0.00851457771094876</v>
      </c>
      <c r="W35" s="24" t="n">
        <f aca="false">W34*Assumptions!$B$38</f>
        <v>0.00842943193383927</v>
      </c>
      <c r="X35" s="24" t="n">
        <f aca="false">X34*Assumptions!$B$38</f>
        <v>0.00834513761450088</v>
      </c>
      <c r="Y35" s="24" t="n">
        <f aca="false">Y34*Assumptions!$B$38</f>
        <v>0.00826168623835587</v>
      </c>
      <c r="Z35" s="24" t="n">
        <f aca="false">Z34*Assumptions!$B$38</f>
        <v>0.00817906937597231</v>
      </c>
      <c r="AA35" s="24" t="n">
        <f aca="false">AA34*Assumptions!$B$38</f>
        <v>0.00809727868221259</v>
      </c>
      <c r="AB35" s="24" t="n">
        <f aca="false">AB34*Assumptions!$B$38</f>
        <v>0.00801630589539046</v>
      </c>
      <c r="AC35" s="24" t="n">
        <f aca="false">AC34*Assumptions!$B$38</f>
        <v>0.00793614283643656</v>
      </c>
      <c r="AD35" s="24" t="n">
        <f aca="false">AD34*Assumptions!$B$38</f>
        <v>0.00785678140807219</v>
      </c>
      <c r="AE35" s="24" t="n">
        <f aca="false">AE34*Assumptions!$B$38</f>
        <v>0.00777821359399147</v>
      </c>
      <c r="AF35" s="24" t="n">
        <f aca="false">AF34*Assumptions!$B$38</f>
        <v>0.00770043145805155</v>
      </c>
      <c r="AG35" s="24" t="n">
        <f aca="false">AG34*Assumptions!$B$38</f>
        <v>0.00762342714347104</v>
      </c>
      <c r="AH35" s="24" t="n">
        <f aca="false">AH34*Assumptions!$B$38</f>
        <v>0.00754719287203633</v>
      </c>
      <c r="AI35" s="24" t="n">
        <f aca="false">AI34*Assumptions!$B$38</f>
        <v>0.00747172094331596</v>
      </c>
      <c r="AJ35" s="24" t="n">
        <f aca="false">AJ34*Assumptions!$B$38</f>
        <v>0.0073970037338828</v>
      </c>
      <c r="AK35" s="24" t="n">
        <f aca="false">AK34*Assumptions!$B$38</f>
        <v>0.00732303369654398</v>
      </c>
      <c r="AL35" s="24" t="n">
        <f aca="false">AL34*Assumptions!$B$38</f>
        <v>0.00724980335957854</v>
      </c>
    </row>
    <row r="36" customFormat="false" ht="15" hidden="false" customHeight="false" outlineLevel="0" collapsed="false">
      <c r="B36" s="3" t="s">
        <v>158</v>
      </c>
      <c r="C36" s="24" t="n">
        <f aca="false">C34+C33-C35</f>
        <v>0</v>
      </c>
      <c r="D36" s="24" t="n">
        <f aca="false">D34+D33-D35</f>
        <v>0</v>
      </c>
      <c r="E36" s="24" t="n">
        <f aca="false">E34+E33-E35</f>
        <v>1</v>
      </c>
      <c r="F36" s="24" t="n">
        <f aca="false">F34+F33-F35</f>
        <v>0.99</v>
      </c>
      <c r="G36" s="24" t="n">
        <f aca="false">G34+G33-G35</f>
        <v>0.9801</v>
      </c>
      <c r="H36" s="24" t="n">
        <f aca="false">H34+H33-H35</f>
        <v>0.970299</v>
      </c>
      <c r="I36" s="24" t="n">
        <f aca="false">I34+I33-I35</f>
        <v>0.96059601</v>
      </c>
      <c r="J36" s="24" t="n">
        <f aca="false">J34+J33-J35</f>
        <v>0.9509900499</v>
      </c>
      <c r="K36" s="24" t="n">
        <f aca="false">K34+K33-K35</f>
        <v>0.941480149401</v>
      </c>
      <c r="L36" s="24" t="n">
        <f aca="false">L34+L33-L35</f>
        <v>0.93206534790699</v>
      </c>
      <c r="M36" s="24" t="n">
        <f aca="false">M34+M33-M35</f>
        <v>0.92274469442792</v>
      </c>
      <c r="N36" s="24" t="n">
        <f aca="false">N34+N33-N35</f>
        <v>0.913517247483641</v>
      </c>
      <c r="O36" s="24" t="n">
        <f aca="false">O34+O33-O35</f>
        <v>0.904382075008805</v>
      </c>
      <c r="P36" s="24" t="n">
        <f aca="false">P34+P33-P35</f>
        <v>0.895338254258717</v>
      </c>
      <c r="Q36" s="24" t="n">
        <f aca="false">Q34+Q33-Q35</f>
        <v>0.886384871716129</v>
      </c>
      <c r="R36" s="24" t="n">
        <f aca="false">R34+R33-R35</f>
        <v>0.877521022998968</v>
      </c>
      <c r="S36" s="24" t="n">
        <f aca="false">S34+S33-S35</f>
        <v>0.868745812768978</v>
      </c>
      <c r="T36" s="24" t="n">
        <f aca="false">T34+T33-T35</f>
        <v>0.860058354641289</v>
      </c>
      <c r="U36" s="24" t="n">
        <f aca="false">U34+U33-U35</f>
        <v>0.851457771094876</v>
      </c>
      <c r="V36" s="24" t="n">
        <f aca="false">V34+V33-V35</f>
        <v>0.842943193383927</v>
      </c>
      <c r="W36" s="24" t="n">
        <f aca="false">W34+W33-W35</f>
        <v>0.834513761450088</v>
      </c>
      <c r="X36" s="24" t="n">
        <f aca="false">X34+X33-X35</f>
        <v>0.826168623835587</v>
      </c>
      <c r="Y36" s="24" t="n">
        <f aca="false">Y34+Y33-Y35</f>
        <v>0.817906937597231</v>
      </c>
      <c r="Z36" s="24" t="n">
        <f aca="false">Z34+Z33-Z35</f>
        <v>0.809727868221259</v>
      </c>
      <c r="AA36" s="24" t="n">
        <f aca="false">AA34+AA33-AA35</f>
        <v>0.801630589539046</v>
      </c>
      <c r="AB36" s="24" t="n">
        <f aca="false">AB34+AB33-AB35</f>
        <v>0.793614283643656</v>
      </c>
      <c r="AC36" s="24" t="n">
        <f aca="false">AC34+AC33-AC35</f>
        <v>0.785678140807219</v>
      </c>
      <c r="AD36" s="24" t="n">
        <f aca="false">AD34+AD33-AD35</f>
        <v>0.777821359399147</v>
      </c>
      <c r="AE36" s="24" t="n">
        <f aca="false">AE34+AE33-AE35</f>
        <v>0.770043145805155</v>
      </c>
      <c r="AF36" s="24" t="n">
        <f aca="false">AF34+AF33-AF35</f>
        <v>0.762342714347104</v>
      </c>
      <c r="AG36" s="24" t="n">
        <f aca="false">AG34+AG33-AG35</f>
        <v>0.754719287203633</v>
      </c>
      <c r="AH36" s="24" t="n">
        <f aca="false">AH34+AH33-AH35</f>
        <v>0.747172094331596</v>
      </c>
      <c r="AI36" s="24" t="n">
        <f aca="false">AI34+AI33-AI35</f>
        <v>0.73970037338828</v>
      </c>
      <c r="AJ36" s="24" t="n">
        <f aca="false">AJ34+AJ33-AJ35</f>
        <v>0.732303369654398</v>
      </c>
      <c r="AK36" s="24" t="n">
        <f aca="false">AK34+AK33-AK35</f>
        <v>0.724980335957854</v>
      </c>
      <c r="AL36" s="24" t="n">
        <f aca="false">AL34+AL33-AL35</f>
        <v>0.717730532598275</v>
      </c>
    </row>
    <row r="38" customFormat="false" ht="15" hidden="false" customHeight="false" outlineLevel="0" collapsed="false">
      <c r="B38" s="2" t="s">
        <v>165</v>
      </c>
      <c r="C38" s="27" t="n">
        <f aca="false">C17+C22+C27+C31</f>
        <v>18.67</v>
      </c>
      <c r="D38" s="27" t="n">
        <f aca="false">D17+D22+D27+D31</f>
        <v>26.6779</v>
      </c>
      <c r="E38" s="27" t="n">
        <f aca="false">E17+E22+E27+E31</f>
        <v>35.086763</v>
      </c>
      <c r="F38" s="27" t="n">
        <f aca="false">F17+F22+F27+F31</f>
        <v>43.96387611</v>
      </c>
      <c r="G38" s="27" t="n">
        <f aca="false">G17+G22+G27+G31</f>
        <v>53.3813263467</v>
      </c>
      <c r="H38" s="27" t="n">
        <f aca="false">H17+H22+H27+H31</f>
        <v>63.416622404699</v>
      </c>
      <c r="I38" s="27" t="n">
        <f aca="false">I17+I22+I27+I31</f>
        <v>74.153367894586</v>
      </c>
      <c r="J38" s="27" t="n">
        <f aca="false">J17+J22+J27+J31</f>
        <v>85.6819920196392</v>
      </c>
      <c r="K38" s="27" t="n">
        <f aca="false">K17+K22+K27+K31</f>
        <v>98.1005441956133</v>
      </c>
      <c r="L38" s="27" t="n">
        <f aca="false">L17+L22+L27+L31</f>
        <v>111.51555970921</v>
      </c>
      <c r="M38" s="27" t="n">
        <f aca="false">M17+M22+M27+M31</f>
        <v>126.043004165719</v>
      </c>
      <c r="N38" s="27" t="n">
        <f aca="false">N17+N22+N27+N31</f>
        <v>141.80930520101</v>
      </c>
      <c r="O38" s="27" t="n">
        <f aca="false">O17+O22+O27+O31</f>
        <v>158.952480734163</v>
      </c>
      <c r="P38" s="27" t="n">
        <f aca="false">P17+P22+P27+P31</f>
        <v>177.623373921903</v>
      </c>
      <c r="Q38" s="27" t="n">
        <f aca="false">Q17+Q22+Q27+Q31</f>
        <v>197.987005952729</v>
      </c>
      <c r="R38" s="27" t="n">
        <f aca="false">R17+R22+R27+R31</f>
        <v>220.2240588961</v>
      </c>
      <c r="S38" s="27" t="n">
        <f aca="false">S17+S22+S27+S31</f>
        <v>244.532502010143</v>
      </c>
      <c r="T38" s="27" t="n">
        <f aca="false">T17+T22+T27+T31</f>
        <v>271.129376220835</v>
      </c>
      <c r="U38" s="27" t="n">
        <f aca="false">U17+U22+U27+U31</f>
        <v>300.252752928521</v>
      </c>
      <c r="V38" s="27" t="n">
        <f aca="false">V17+V22+V27+V31</f>
        <v>332.163884887002</v>
      </c>
      <c r="W38" s="27" t="n">
        <f aca="false">W17+W22+W27+W31</f>
        <v>367.149568650821</v>
      </c>
      <c r="X38" s="27" t="n">
        <f aca="false">X17+X22+X27+X31</f>
        <v>405.524740013689</v>
      </c>
      <c r="Y38" s="27" t="n">
        <f aca="false">Y17+Y22+Y27+Y31</f>
        <v>447.635325982764</v>
      </c>
      <c r="Z38" s="27" t="n">
        <f aca="false">Z17+Z22+Z27+Z31</f>
        <v>493.861379169069</v>
      </c>
      <c r="AA38" s="27" t="n">
        <f aca="false">AA17+AA22+AA27+AA31</f>
        <v>544.620523044912</v>
      </c>
      <c r="AB38" s="27" t="n">
        <f aca="false">AB17+AB22+AB27+AB31</f>
        <v>600.3717393482</v>
      </c>
      <c r="AC38" s="27" t="n">
        <f aca="false">AC17+AC22+AC27+AC31</f>
        <v>661.619532026701</v>
      </c>
      <c r="AD38" s="27" t="n">
        <f aca="false">AD17+AD22+AD27+AD31</f>
        <v>728.918505540922</v>
      </c>
      <c r="AE38" s="27" t="n">
        <f aca="false">AE17+AE22+AE27+AE31</f>
        <v>802.878399113581</v>
      </c>
      <c r="AF38" s="27" t="n">
        <f aca="false">AF17+AF22+AF27+AF31</f>
        <v>884.16962266077</v>
      </c>
      <c r="AG38" s="27" t="n">
        <f aca="false">AG17+AG22+AG27+AG31</f>
        <v>973.529344702724</v>
      </c>
      <c r="AH38" s="27" t="n">
        <f aca="false">AH17+AH22+AH27+AH31</f>
        <v>1071.76818757202</v>
      </c>
      <c r="AI38" s="27" t="n">
        <f aca="false">AI17+AI22+AI27+AI31</f>
        <v>1179.77759075966</v>
      </c>
      <c r="AJ38" s="27" t="n">
        <f aca="false">AJ17+AJ22+AJ27+AJ31</f>
        <v>1298.53790931511</v>
      </c>
      <c r="AK38" s="27" t="n">
        <f aca="false">AK17+AK22+AK27+AK31</f>
        <v>1429.12732090032</v>
      </c>
      <c r="AL38" s="27" t="n">
        <f aca="false">AL17+AL22+AL27+AL31</f>
        <v>1572.7316224504</v>
      </c>
    </row>
    <row r="39" customFormat="false" ht="15" hidden="false" customHeight="false" outlineLevel="0" collapsed="false">
      <c r="B39" s="2" t="s">
        <v>166</v>
      </c>
      <c r="C39" s="27" t="n">
        <f aca="false">C38+C36</f>
        <v>18.67</v>
      </c>
      <c r="D39" s="27" t="n">
        <f aca="false">D38+D36</f>
        <v>26.6779</v>
      </c>
      <c r="E39" s="27" t="n">
        <f aca="false">E38+E36</f>
        <v>36.086763</v>
      </c>
      <c r="F39" s="27" t="n">
        <f aca="false">F38+F36</f>
        <v>44.95387611</v>
      </c>
      <c r="G39" s="27" t="n">
        <f aca="false">G38+G36</f>
        <v>54.3614263467</v>
      </c>
      <c r="H39" s="27" t="n">
        <f aca="false">H38+H36</f>
        <v>64.386921404699</v>
      </c>
      <c r="I39" s="27" t="n">
        <f aca="false">I38+I36</f>
        <v>75.113963904586</v>
      </c>
      <c r="J39" s="27" t="n">
        <f aca="false">J38+J36</f>
        <v>86.6329820695392</v>
      </c>
      <c r="K39" s="27" t="n">
        <f aca="false">K38+K36</f>
        <v>99.0420243450143</v>
      </c>
      <c r="L39" s="27" t="n">
        <f aca="false">L38+L36</f>
        <v>112.447625057117</v>
      </c>
      <c r="M39" s="27" t="n">
        <f aca="false">M38+M36</f>
        <v>126.965748860146</v>
      </c>
      <c r="N39" s="27" t="n">
        <f aca="false">N38+N36</f>
        <v>142.722822448493</v>
      </c>
      <c r="O39" s="27" t="n">
        <f aca="false">O38+O36</f>
        <v>159.856862809172</v>
      </c>
      <c r="P39" s="27" t="n">
        <f aca="false">P38+P36</f>
        <v>178.518712176162</v>
      </c>
      <c r="Q39" s="27" t="n">
        <f aca="false">Q38+Q36</f>
        <v>198.873390824445</v>
      </c>
      <c r="R39" s="27" t="n">
        <f aca="false">R38+R36</f>
        <v>221.101579919099</v>
      </c>
      <c r="S39" s="27" t="n">
        <f aca="false">S38+S36</f>
        <v>245.401247822912</v>
      </c>
      <c r="T39" s="27" t="n">
        <f aca="false">T38+T36</f>
        <v>271.989434575476</v>
      </c>
      <c r="U39" s="27" t="n">
        <f aca="false">U38+U36</f>
        <v>301.104210699616</v>
      </c>
      <c r="V39" s="27" t="n">
        <f aca="false">V38+V36</f>
        <v>333.006828080386</v>
      </c>
      <c r="W39" s="27" t="n">
        <f aca="false">W38+W36</f>
        <v>367.984082412271</v>
      </c>
      <c r="X39" s="27" t="n">
        <f aca="false">X38+X36</f>
        <v>406.350908637524</v>
      </c>
      <c r="Y39" s="27" t="n">
        <f aca="false">Y38+Y36</f>
        <v>448.453232920361</v>
      </c>
      <c r="Z39" s="27" t="n">
        <f aca="false">Z38+Z36</f>
        <v>494.67110703729</v>
      </c>
      <c r="AA39" s="27" t="n">
        <f aca="false">AA38+AA36</f>
        <v>545.422153634451</v>
      </c>
      <c r="AB39" s="27" t="n">
        <f aca="false">AB38+AB36</f>
        <v>601.165353631844</v>
      </c>
      <c r="AC39" s="27" t="n">
        <f aca="false">AC38+AC36</f>
        <v>662.405210167508</v>
      </c>
      <c r="AD39" s="27" t="n">
        <f aca="false">AD38+AD36</f>
        <v>729.696326900321</v>
      </c>
      <c r="AE39" s="27" t="n">
        <f aca="false">AE38+AE36</f>
        <v>803.648442259387</v>
      </c>
      <c r="AF39" s="27" t="n">
        <f aca="false">AF38+AF36</f>
        <v>884.931965375117</v>
      </c>
      <c r="AG39" s="27" t="n">
        <f aca="false">AG38+AG36</f>
        <v>974.284063989927</v>
      </c>
      <c r="AH39" s="27" t="n">
        <f aca="false">AH38+AH36</f>
        <v>1072.51535966635</v>
      </c>
      <c r="AI39" s="27" t="n">
        <f aca="false">AI38+AI36</f>
        <v>1180.51729113304</v>
      </c>
      <c r="AJ39" s="27" t="n">
        <f aca="false">AJ38+AJ36</f>
        <v>1299.27021268476</v>
      </c>
      <c r="AK39" s="27" t="n">
        <f aca="false">AK38+AK36</f>
        <v>1429.85230123628</v>
      </c>
      <c r="AL39" s="27" t="n">
        <f aca="false">AL38+AL36</f>
        <v>1573.44935298299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L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8" min="3" style="0" width="10"/>
  </cols>
  <sheetData>
    <row r="1" customFormat="false" ht="16.15" hidden="false" customHeight="false" outlineLevel="0" collapsed="false">
      <c r="B1" s="1" t="s">
        <v>167</v>
      </c>
    </row>
    <row r="3" customFormat="false" ht="15" hidden="false" customHeight="false" outlineLevel="0" collapsed="false">
      <c r="B3" s="2" t="s">
        <v>146</v>
      </c>
      <c r="C3" s="19" t="n">
        <v>1</v>
      </c>
      <c r="D3" s="19" t="n">
        <v>2</v>
      </c>
      <c r="E3" s="19" t="n">
        <v>3</v>
      </c>
      <c r="F3" s="19" t="n">
        <v>4</v>
      </c>
      <c r="G3" s="19" t="n">
        <v>5</v>
      </c>
      <c r="H3" s="19" t="n">
        <v>6</v>
      </c>
      <c r="I3" s="19" t="n">
        <v>7</v>
      </c>
      <c r="J3" s="19" t="n">
        <v>8</v>
      </c>
      <c r="K3" s="19" t="n">
        <v>9</v>
      </c>
      <c r="L3" s="19" t="n">
        <v>10</v>
      </c>
      <c r="M3" s="19" t="n">
        <v>11</v>
      </c>
      <c r="N3" s="19" t="n">
        <v>12</v>
      </c>
      <c r="O3" s="19" t="n">
        <v>13</v>
      </c>
      <c r="P3" s="19" t="n">
        <v>14</v>
      </c>
      <c r="Q3" s="19" t="n">
        <v>15</v>
      </c>
      <c r="R3" s="19" t="n">
        <v>16</v>
      </c>
      <c r="S3" s="19" t="n">
        <v>17</v>
      </c>
      <c r="T3" s="19" t="n">
        <v>18</v>
      </c>
      <c r="U3" s="19" t="n">
        <v>19</v>
      </c>
      <c r="V3" s="19" t="n">
        <v>20</v>
      </c>
      <c r="W3" s="19" t="n">
        <v>21</v>
      </c>
      <c r="X3" s="19" t="n">
        <v>22</v>
      </c>
      <c r="Y3" s="19" t="n">
        <v>23</v>
      </c>
      <c r="Z3" s="19" t="n">
        <v>24</v>
      </c>
      <c r="AA3" s="19" t="n">
        <v>25</v>
      </c>
      <c r="AB3" s="19" t="n">
        <v>26</v>
      </c>
      <c r="AC3" s="19" t="n">
        <v>27</v>
      </c>
      <c r="AD3" s="19" t="n">
        <v>28</v>
      </c>
      <c r="AE3" s="19" t="n">
        <v>29</v>
      </c>
      <c r="AF3" s="19" t="n">
        <v>30</v>
      </c>
      <c r="AG3" s="19" t="n">
        <v>31</v>
      </c>
      <c r="AH3" s="19" t="n">
        <v>32</v>
      </c>
      <c r="AI3" s="19" t="n">
        <v>33</v>
      </c>
      <c r="AJ3" s="19" t="n">
        <v>34</v>
      </c>
      <c r="AK3" s="19" t="n">
        <v>35</v>
      </c>
      <c r="AL3" s="19" t="n">
        <v>36</v>
      </c>
    </row>
    <row r="4" customFormat="false" ht="15" hidden="false" customHeight="false" outlineLevel="0" collapsed="false">
      <c r="B4" s="2" t="s">
        <v>147</v>
      </c>
      <c r="C4" s="20" t="n">
        <f aca="false">Assumptions!$B$5</f>
        <v>46296</v>
      </c>
      <c r="D4" s="21" t="n">
        <f aca="false">EDATE(C4,1)</f>
        <v>46327</v>
      </c>
      <c r="E4" s="21" t="n">
        <f aca="false">EDATE(D4,1)</f>
        <v>46357</v>
      </c>
      <c r="F4" s="21" t="n">
        <f aca="false">EDATE(E4,1)</f>
        <v>46388</v>
      </c>
      <c r="G4" s="21" t="n">
        <f aca="false">EDATE(F4,1)</f>
        <v>46419</v>
      </c>
      <c r="H4" s="21" t="n">
        <f aca="false">EDATE(G4,1)</f>
        <v>46447</v>
      </c>
      <c r="I4" s="21" t="n">
        <f aca="false">EDATE(H4,1)</f>
        <v>46478</v>
      </c>
      <c r="J4" s="21" t="n">
        <f aca="false">EDATE(I4,1)</f>
        <v>46508</v>
      </c>
      <c r="K4" s="21" t="n">
        <f aca="false">EDATE(J4,1)</f>
        <v>46539</v>
      </c>
      <c r="L4" s="21" t="n">
        <f aca="false">EDATE(K4,1)</f>
        <v>46569</v>
      </c>
      <c r="M4" s="21" t="n">
        <f aca="false">EDATE(L4,1)</f>
        <v>46600</v>
      </c>
      <c r="N4" s="21" t="n">
        <f aca="false">EDATE(M4,1)</f>
        <v>46631</v>
      </c>
      <c r="O4" s="21" t="n">
        <f aca="false">EDATE(N4,1)</f>
        <v>46661</v>
      </c>
      <c r="P4" s="21" t="n">
        <f aca="false">EDATE(O4,1)</f>
        <v>46692</v>
      </c>
      <c r="Q4" s="21" t="n">
        <f aca="false">EDATE(P4,1)</f>
        <v>46722</v>
      </c>
      <c r="R4" s="21" t="n">
        <f aca="false">EDATE(Q4,1)</f>
        <v>46753</v>
      </c>
      <c r="S4" s="21" t="n">
        <f aca="false">EDATE(R4,1)</f>
        <v>46784</v>
      </c>
      <c r="T4" s="21" t="n">
        <f aca="false">EDATE(S4,1)</f>
        <v>46813</v>
      </c>
      <c r="U4" s="21" t="n">
        <f aca="false">EDATE(T4,1)</f>
        <v>46844</v>
      </c>
      <c r="V4" s="21" t="n">
        <f aca="false">EDATE(U4,1)</f>
        <v>46874</v>
      </c>
      <c r="W4" s="21" t="n">
        <f aca="false">EDATE(V4,1)</f>
        <v>46905</v>
      </c>
      <c r="X4" s="21" t="n">
        <f aca="false">EDATE(W4,1)</f>
        <v>46935</v>
      </c>
      <c r="Y4" s="21" t="n">
        <f aca="false">EDATE(X4,1)</f>
        <v>46966</v>
      </c>
      <c r="Z4" s="21" t="n">
        <f aca="false">EDATE(Y4,1)</f>
        <v>46997</v>
      </c>
      <c r="AA4" s="21" t="n">
        <f aca="false">EDATE(Z4,1)</f>
        <v>47027</v>
      </c>
      <c r="AB4" s="21" t="n">
        <f aca="false">EDATE(AA4,1)</f>
        <v>47058</v>
      </c>
      <c r="AC4" s="21" t="n">
        <f aca="false">EDATE(AB4,1)</f>
        <v>47088</v>
      </c>
      <c r="AD4" s="21" t="n">
        <f aca="false">EDATE(AC4,1)</f>
        <v>47119</v>
      </c>
      <c r="AE4" s="21" t="n">
        <f aca="false">EDATE(AD4,1)</f>
        <v>47150</v>
      </c>
      <c r="AF4" s="21" t="n">
        <f aca="false">EDATE(AE4,1)</f>
        <v>47178</v>
      </c>
      <c r="AG4" s="21" t="n">
        <f aca="false">EDATE(AF4,1)</f>
        <v>47209</v>
      </c>
      <c r="AH4" s="21" t="n">
        <f aca="false">EDATE(AG4,1)</f>
        <v>47239</v>
      </c>
      <c r="AI4" s="21" t="n">
        <f aca="false">EDATE(AH4,1)</f>
        <v>47270</v>
      </c>
      <c r="AJ4" s="21" t="n">
        <f aca="false">EDATE(AI4,1)</f>
        <v>47300</v>
      </c>
      <c r="AK4" s="21" t="n">
        <f aca="false">EDATE(AJ4,1)</f>
        <v>47331</v>
      </c>
      <c r="AL4" s="21" t="n">
        <f aca="false">EDATE(AK4,1)</f>
        <v>47362</v>
      </c>
    </row>
    <row r="6" customFormat="false" ht="15" hidden="false" customHeight="false" outlineLevel="0" collapsed="false">
      <c r="B6" s="3" t="s">
        <v>168</v>
      </c>
      <c r="C6" s="28" t="n">
        <f aca="false">Funnel!C17*Assumptions!$B$16</f>
        <v>28.16</v>
      </c>
      <c r="D6" s="28" t="n">
        <f aca="false">Funnel!D17*Assumptions!$B$16</f>
        <v>56.8832</v>
      </c>
      <c r="E6" s="28" t="n">
        <f aca="false">Funnel!E17*Assumptions!$B$16</f>
        <v>86.406144</v>
      </c>
      <c r="F6" s="28" t="n">
        <f aca="false">Funnel!F17*Assumptions!$B$16</f>
        <v>116.97461248</v>
      </c>
      <c r="G6" s="28" t="n">
        <f aca="false">Funnel!G17*Assumptions!$B$16</f>
        <v>148.8456994816</v>
      </c>
      <c r="H6" s="28" t="n">
        <f aca="false">Funnel!H17*Assumptions!$B$16</f>
        <v>182.290005123072</v>
      </c>
      <c r="I6" s="28" t="n">
        <f aca="false">Funnel!I17*Assumptions!$B$16</f>
        <v>217.593962473226</v>
      </c>
      <c r="J6" s="28" t="n">
        <f aca="false">Funnel!J17*Assumptions!$B$16</f>
        <v>255.062319011368</v>
      </c>
      <c r="K6" s="28" t="n">
        <f aca="false">Funnel!K17*Assumptions!$B$16</f>
        <v>295.020794380059</v>
      </c>
      <c r="L6" s="28" t="n">
        <f aca="false">Funnel!L17*Assumptions!$B$16</f>
        <v>337.818937808214</v>
      </c>
      <c r="M6" s="28" t="n">
        <f aca="false">Funnel!M17*Assumptions!$B$16</f>
        <v>383.833210459973</v>
      </c>
      <c r="N6" s="28" t="n">
        <f aca="false">Funnel!N17*Assumptions!$B$16</f>
        <v>433.470320067233</v>
      </c>
      <c r="O6" s="28" t="n">
        <f aca="false">Funnel!O17*Assumptions!$B$16</f>
        <v>487.170837550318</v>
      </c>
      <c r="P6" s="28" t="n">
        <f aca="false">Funnel!P17*Assumptions!$B$16</f>
        <v>545.413127943602</v>
      </c>
      <c r="Q6" s="28" t="n">
        <f aca="false">Funnel!Q17*Assumptions!$B$16</f>
        <v>608.717630845155</v>
      </c>
      <c r="R6" s="28" t="n">
        <f aca="false">Funnel!R17*Assumptions!$B$16</f>
        <v>677.651528828287</v>
      </c>
      <c r="S6" s="28" t="n">
        <f aca="false">Funnel!S17*Assumptions!$B$16</f>
        <v>752.833845817843</v>
      </c>
      <c r="T6" s="28" t="n">
        <f aca="false">Funnel!T17*Assumptions!$B$16</f>
        <v>834.941021377817</v>
      </c>
      <c r="U6" s="28" t="n">
        <f aca="false">Funnel!U17*Assumptions!$B$16</f>
        <v>924.713011215533</v>
      </c>
      <c r="V6" s="28" t="n">
        <f aca="false">Funnel!V17*Assumptions!$B$16</f>
        <v>1022.95996902103</v>
      </c>
      <c r="W6" s="28" t="n">
        <f aca="false">Funnel!W17*Assumptions!$B$16</f>
        <v>1130.56957007235</v>
      </c>
      <c r="X6" s="28" t="n">
        <f aca="false">Funnel!X17*Assumptions!$B$16</f>
        <v>1248.51504289688</v>
      </c>
      <c r="Y6" s="28" t="n">
        <f aca="false">Funnel!Y17*Assumptions!$B$16</f>
        <v>1377.86398173847</v>
      </c>
      <c r="Z6" s="28" t="n">
        <f aca="false">Funnel!Z17*Assumptions!$B$16</f>
        <v>1519.78801970006</v>
      </c>
      <c r="AA6" s="28" t="n">
        <f aca="false">Funnel!AA17*Assumptions!$B$16</f>
        <v>1675.5734502748</v>
      </c>
      <c r="AB6" s="28" t="n">
        <f aca="false">Funnel!AB17*Assumptions!$B$16</f>
        <v>1846.63289361863</v>
      </c>
      <c r="AC6" s="28" t="n">
        <f aca="false">Funnel!AC17*Assumptions!$B$16</f>
        <v>2034.51811343154</v>
      </c>
      <c r="AD6" s="28" t="n">
        <f aca="false">Funnel!AD17*Assumptions!$B$16</f>
        <v>2240.93410078966</v>
      </c>
      <c r="AE6" s="28" t="n">
        <f aca="false">Funnel!AE17*Assumptions!$B$16</f>
        <v>2467.75455280239</v>
      </c>
      <c r="AF6" s="28" t="n">
        <f aca="false">Funnel!AF17*Assumptions!$B$16</f>
        <v>2717.03888666169</v>
      </c>
      <c r="AG6" s="28" t="n">
        <f aca="false">Funnel!AG17*Assumptions!$B$16</f>
        <v>2991.0509436206</v>
      </c>
      <c r="AH6" s="28" t="n">
        <f aca="false">Funnel!AH17*Assumptions!$B$16</f>
        <v>3292.27955281198</v>
      </c>
      <c r="AI6" s="28" t="n">
        <f aca="false">Funnel!AI17*Assumptions!$B$16</f>
        <v>3623.46114173615</v>
      </c>
      <c r="AJ6" s="28" t="n">
        <f aca="false">Funnel!AJ17*Assumptions!$B$16</f>
        <v>3987.6045988613</v>
      </c>
      <c r="AK6" s="28" t="n">
        <f aca="false">Funnel!AK17*Assumptions!$B$16</f>
        <v>4388.01861426284</v>
      </c>
      <c r="AL6" s="28" t="n">
        <f aca="false">Funnel!AL17*Assumptions!$B$16</f>
        <v>4828.3417467633</v>
      </c>
    </row>
    <row r="7" customFormat="false" ht="15" hidden="false" customHeight="false" outlineLevel="0" collapsed="false">
      <c r="B7" s="3" t="s">
        <v>169</v>
      </c>
      <c r="C7" s="28" t="n">
        <f aca="false">Funnel!C22*Assumptions!$B$17</f>
        <v>59.76</v>
      </c>
      <c r="D7" s="28" t="n">
        <f aca="false">Funnel!D22*Assumptions!$B$17</f>
        <v>122.508</v>
      </c>
      <c r="E7" s="28" t="n">
        <f aca="false">Funnel!E22*Assumptions!$B$17</f>
        <v>188.6922</v>
      </c>
      <c r="F7" s="28" t="n">
        <f aca="false">Funnel!F22*Assumptions!$B$17</f>
        <v>258.79815</v>
      </c>
      <c r="G7" s="28" t="n">
        <f aca="false">Funnel!G22*Assumptions!$B$17</f>
        <v>333.3528585</v>
      </c>
      <c r="H7" s="28" t="n">
        <f aca="false">Funnel!H22*Assumptions!$B$17</f>
        <v>412.929293175</v>
      </c>
      <c r="I7" s="28" t="n">
        <f aca="false">Funnel!I22*Assumptions!$B$17</f>
        <v>498.15131387625</v>
      </c>
      <c r="J7" s="28" t="n">
        <f aca="false">Funnel!J22*Assumptions!$B$17</f>
        <v>589.699082078438</v>
      </c>
      <c r="K7" s="28" t="n">
        <f aca="false">Funnel!K22*Assumptions!$B$17</f>
        <v>688.314995260116</v>
      </c>
      <c r="L7" s="28" t="n">
        <f aca="false">Funnel!L22*Assumptions!$B$17</f>
        <v>794.81019951127</v>
      </c>
      <c r="M7" s="28" t="n">
        <f aca="false">Funnel!M22*Assumptions!$B$17</f>
        <v>910.071738951283</v>
      </c>
      <c r="N7" s="28" t="n">
        <f aca="false">Funnel!N22*Assumptions!$B$17</f>
        <v>1035.07040636085</v>
      </c>
      <c r="O7" s="28" t="n">
        <f aca="false">Funnel!O22*Assumptions!$B$17</f>
        <v>1170.86936583566</v>
      </c>
      <c r="P7" s="28" t="n">
        <f aca="false">Funnel!P22*Assumptions!$B$17</f>
        <v>1318.63362531601</v>
      </c>
      <c r="Q7" s="28" t="n">
        <f aca="false">Funnel!Q22*Assumptions!$B$17</f>
        <v>1479.64044459955</v>
      </c>
      <c r="R7" s="28" t="n">
        <f aca="false">Funnel!R22*Assumptions!$B$17</f>
        <v>1655.29077297385</v>
      </c>
      <c r="S7" s="28" t="n">
        <f aca="false">Funnel!S22*Assumptions!$B$17</f>
        <v>1847.12181998987</v>
      </c>
      <c r="T7" s="28" t="n">
        <f aca="false">Funnel!T22*Assumptions!$B$17</f>
        <v>2056.82087322155</v>
      </c>
      <c r="U7" s="28" t="n">
        <f aca="false">Funnel!U22*Assumptions!$B$17</f>
        <v>2286.24048821477</v>
      </c>
      <c r="V7" s="28" t="n">
        <f aca="false">Funnel!V22*Assumptions!$B$17</f>
        <v>2537.41518832376</v>
      </c>
      <c r="W7" s="28" t="n">
        <f aca="false">Funnel!W22*Assumptions!$B$17</f>
        <v>2812.57982587927</v>
      </c>
      <c r="X7" s="28" t="n">
        <f aca="false">Funnel!X22*Assumptions!$B$17</f>
        <v>3114.18977125417</v>
      </c>
      <c r="Y7" s="28" t="n">
        <f aca="false">Funnel!Y22*Assumptions!$B$17</f>
        <v>3444.94311302722</v>
      </c>
      <c r="Z7" s="28" t="n">
        <f aca="false">Funnel!Z22*Assumptions!$B$17</f>
        <v>3807.80507074519</v>
      </c>
      <c r="AA7" s="28" t="n">
        <f aca="false">Funnel!AA22*Assumptions!$B$17</f>
        <v>4206.03484191419</v>
      </c>
      <c r="AB7" s="28" t="n">
        <f aca="false">Funnel!AB22*Assumptions!$B$17</f>
        <v>4643.21512699538</v>
      </c>
      <c r="AC7" s="28" t="n">
        <f aca="false">Funnel!AC22*Assumptions!$B$17</f>
        <v>5123.28460054019</v>
      </c>
      <c r="AD7" s="28" t="n">
        <f aca="false">Funnel!AD22*Assumptions!$B$17</f>
        <v>5650.57362339721</v>
      </c>
      <c r="AE7" s="28" t="n">
        <f aca="false">Funnel!AE22*Assumptions!$B$17</f>
        <v>6229.84352039979</v>
      </c>
      <c r="AF7" s="28" t="n">
        <f aca="false">Funnel!AF22*Assumptions!$B$17</f>
        <v>6866.32978036949</v>
      </c>
      <c r="AG7" s="28" t="n">
        <f aca="false">Funnel!AG22*Assumptions!$B$17</f>
        <v>7565.78957093967</v>
      </c>
      <c r="AH7" s="28" t="n">
        <f aca="false">Funnel!AH22*Assumptions!$B$17</f>
        <v>8334.5539999402</v>
      </c>
      <c r="AI7" s="28" t="n">
        <f aca="false">Funnel!AI22*Assumptions!$B$17</f>
        <v>9179.58559824547</v>
      </c>
      <c r="AJ7" s="28" t="n">
        <f aca="false">Funnel!AJ22*Assumptions!$B$17</f>
        <v>10108.5415464657</v>
      </c>
      <c r="AK7" s="28" t="n">
        <f aca="false">Funnel!AK22*Assumptions!$B$17</f>
        <v>11129.8432200882</v>
      </c>
      <c r="AL7" s="28" t="n">
        <f aca="false">Funnel!AL22*Assumptions!$B$17</f>
        <v>12252.7526851241</v>
      </c>
    </row>
    <row r="8" customFormat="false" ht="15" hidden="false" customHeight="false" outlineLevel="0" collapsed="false">
      <c r="B8" s="3" t="s">
        <v>170</v>
      </c>
      <c r="C8" s="28" t="n">
        <f aca="false">Funnel!C27*Assumptions!$B$18</f>
        <v>41.04</v>
      </c>
      <c r="D8" s="28" t="n">
        <f aca="false">Funnel!D27*Assumptions!$B$18</f>
        <v>84.9528</v>
      </c>
      <c r="E8" s="28" t="n">
        <f aca="false">Funnel!E27*Assumptions!$B$18</f>
        <v>132.062616</v>
      </c>
      <c r="F8" s="28" t="n">
        <f aca="false">Funnel!F27*Assumptions!$B$18</f>
        <v>182.72497752</v>
      </c>
      <c r="G8" s="28" t="n">
        <f aca="false">Funnel!G27*Assumptions!$B$18</f>
        <v>237.3298921944</v>
      </c>
      <c r="H8" s="28" t="n">
        <f aca="false">Funnel!H27*Assumptions!$B$18</f>
        <v>296.305325828568</v>
      </c>
      <c r="I8" s="28" t="n">
        <f aca="false">Funnel!I27*Assumptions!$B$18</f>
        <v>360.121029493711</v>
      </c>
      <c r="J8" s="28" t="n">
        <f aca="false">Funnel!J27*Assumptions!$B$18</f>
        <v>429.2927483929</v>
      </c>
      <c r="K8" s="28" t="n">
        <f aca="false">Funnel!K27*Assumptions!$B$18</f>
        <v>504.386850703513</v>
      </c>
      <c r="L8" s="28" t="n">
        <f aca="false">Funnel!L27*Assumptions!$B$18</f>
        <v>586.025418421047</v>
      </c>
      <c r="M8" s="28" t="n">
        <f aca="false">Funnel!M27*Assumptions!$B$18</f>
        <v>674.89184643092</v>
      </c>
      <c r="N8" s="28" t="n">
        <f aca="false">Funnel!N27*Assumptions!$B$18</f>
        <v>771.737000656747</v>
      </c>
      <c r="O8" s="28" t="n">
        <f aca="false">Funnel!O27*Assumptions!$B$18</f>
        <v>877.385991217674</v>
      </c>
      <c r="P8" s="28" t="n">
        <f aca="false">Funnel!P27*Assumptions!$B$18</f>
        <v>992.745622119837</v>
      </c>
      <c r="Q8" s="28" t="n">
        <f aca="false">Funnel!Q27*Assumptions!$B$18</f>
        <v>1118.8125851588</v>
      </c>
      <c r="R8" s="28" t="n">
        <f aca="false">Funnel!R27*Assumptions!$B$18</f>
        <v>1256.68247247686</v>
      </c>
      <c r="S8" s="28" t="n">
        <f aca="false">Funnel!S27*Assumptions!$B$18</f>
        <v>1407.55968966265</v>
      </c>
      <c r="T8" s="28" t="n">
        <f aca="false">Funnel!T27*Assumptions!$B$18</f>
        <v>1572.76835946888</v>
      </c>
      <c r="U8" s="28" t="n">
        <f aca="false">Funnel!U27*Assumptions!$B$18</f>
        <v>1753.76431523054</v>
      </c>
      <c r="V8" s="28" t="n">
        <f aca="false">Funnel!V27*Assumptions!$B$18</f>
        <v>1952.14829297392</v>
      </c>
      <c r="W8" s="28" t="n">
        <f aca="false">Funnel!W27*Assumptions!$B$18</f>
        <v>2169.68044210502</v>
      </c>
      <c r="X8" s="28" t="n">
        <f aca="false">Funnel!X27*Assumptions!$B$18</f>
        <v>2408.29628655423</v>
      </c>
      <c r="Y8" s="28" t="n">
        <f aca="false">Funnel!Y27*Assumptions!$B$18</f>
        <v>2670.12428144119</v>
      </c>
      <c r="Z8" s="28" t="n">
        <f aca="false">Funnel!Z27*Assumptions!$B$18</f>
        <v>2957.50512482991</v>
      </c>
      <c r="AA8" s="28" t="n">
        <f aca="false">Funnel!AA27*Assumptions!$B$18</f>
        <v>3273.01300010015</v>
      </c>
      <c r="AB8" s="28" t="n">
        <f aca="false">Funnel!AB27*Assumptions!$B$18</f>
        <v>3619.47894201381</v>
      </c>
      <c r="AC8" s="28" t="n">
        <f aca="false">Funnel!AC27*Assumptions!$B$18</f>
        <v>4000.01653886172</v>
      </c>
      <c r="AD8" s="28" t="n">
        <f aca="false">Funnel!AD27*Assumptions!$B$18</f>
        <v>4418.05020431503</v>
      </c>
      <c r="AE8" s="28" t="n">
        <f aca="false">Funnel!AE27*Assumptions!$B$18</f>
        <v>4877.34627596665</v>
      </c>
      <c r="AF8" s="28" t="n">
        <f aca="false">Funnel!AF27*Assumptions!$B$18</f>
        <v>5382.04722324683</v>
      </c>
      <c r="AG8" s="28" t="n">
        <f aca="false">Funnel!AG27*Assumptions!$B$18</f>
        <v>5936.70927566453</v>
      </c>
      <c r="AH8" s="28" t="n">
        <f aca="false">Funnel!AH27*Assumptions!$B$18</f>
        <v>6546.3438134212</v>
      </c>
      <c r="AI8" s="28" t="n">
        <f aca="false">Funnel!AI27*Assumptions!$B$18</f>
        <v>7216.46289664784</v>
      </c>
      <c r="AJ8" s="28" t="n">
        <f aca="false">Funnel!AJ27*Assumptions!$B$18</f>
        <v>7953.1293471406</v>
      </c>
      <c r="AK8" s="28" t="n">
        <f aca="false">Funnel!AK27*Assumptions!$B$18</f>
        <v>8763.0118378578</v>
      </c>
      <c r="AL8" s="28" t="n">
        <f aca="false">Funnel!AL27*Assumptions!$B$18</f>
        <v>9653.44549096662</v>
      </c>
    </row>
    <row r="9" customFormat="false" ht="15" hidden="false" customHeight="false" outlineLevel="0" collapsed="false">
      <c r="B9" s="3" t="s">
        <v>171</v>
      </c>
      <c r="C9" s="28" t="n">
        <f aca="false">Funnel!C31*Assumptions!$B$21</f>
        <v>101.365</v>
      </c>
      <c r="D9" s="28" t="n">
        <f aca="false">Funnel!D31*Assumptions!$B$21</f>
        <v>98.32405</v>
      </c>
      <c r="E9" s="28" t="n">
        <f aca="false">Funnel!E31*Assumptions!$B$21</f>
        <v>95.3743285</v>
      </c>
      <c r="F9" s="28" t="n">
        <f aca="false">Funnel!F31*Assumptions!$B$21</f>
        <v>92.513098645</v>
      </c>
      <c r="G9" s="28" t="n">
        <f aca="false">Funnel!G31*Assumptions!$B$21</f>
        <v>89.73770568565</v>
      </c>
      <c r="H9" s="28" t="n">
        <f aca="false">Funnel!H31*Assumptions!$B$21</f>
        <v>87.0455745150805</v>
      </c>
      <c r="I9" s="28" t="n">
        <f aca="false">Funnel!I31*Assumptions!$B$21</f>
        <v>84.4342072796281</v>
      </c>
      <c r="J9" s="28" t="n">
        <f aca="false">Funnel!J31*Assumptions!$B$21</f>
        <v>81.9011810612392</v>
      </c>
      <c r="K9" s="28" t="n">
        <f aca="false">Funnel!K31*Assumptions!$B$21</f>
        <v>79.4441456294021</v>
      </c>
      <c r="L9" s="28" t="n">
        <f aca="false">Funnel!L31*Assumptions!$B$21</f>
        <v>77.06082126052</v>
      </c>
      <c r="M9" s="28" t="n">
        <f aca="false">Funnel!M31*Assumptions!$B$21</f>
        <v>74.7489966227044</v>
      </c>
      <c r="N9" s="28" t="n">
        <f aca="false">Funnel!N31*Assumptions!$B$21</f>
        <v>72.5065267240233</v>
      </c>
      <c r="O9" s="28" t="n">
        <f aca="false">Funnel!O31*Assumptions!$B$21</f>
        <v>70.3313309223026</v>
      </c>
      <c r="P9" s="28" t="n">
        <f aca="false">Funnel!P31*Assumptions!$B$21</f>
        <v>68.2213909946335</v>
      </c>
      <c r="Q9" s="28" t="n">
        <f aca="false">Funnel!Q31*Assumptions!$B$21</f>
        <v>66.1747492647945</v>
      </c>
      <c r="R9" s="28" t="n">
        <f aca="false">Funnel!R31*Assumptions!$B$21</f>
        <v>64.1895067868507</v>
      </c>
      <c r="S9" s="28" t="n">
        <f aca="false">Funnel!S31*Assumptions!$B$21</f>
        <v>62.2638215832452</v>
      </c>
      <c r="T9" s="28" t="n">
        <f aca="false">Funnel!T31*Assumptions!$B$21</f>
        <v>60.3959069357478</v>
      </c>
      <c r="U9" s="28" t="n">
        <f aca="false">Funnel!U31*Assumptions!$B$21</f>
        <v>58.5840297276754</v>
      </c>
      <c r="V9" s="28" t="n">
        <f aca="false">Funnel!V31*Assumptions!$B$21</f>
        <v>56.8265088358451</v>
      </c>
      <c r="W9" s="28" t="n">
        <f aca="false">Funnel!W31*Assumptions!$B$21</f>
        <v>55.1217135707697</v>
      </c>
      <c r="X9" s="28" t="n">
        <f aca="false">Funnel!X31*Assumptions!$B$21</f>
        <v>53.4680621636467</v>
      </c>
      <c r="Y9" s="28" t="n">
        <f aca="false">Funnel!Y31*Assumptions!$B$21</f>
        <v>51.8640202987373</v>
      </c>
      <c r="Z9" s="28" t="n">
        <f aca="false">Funnel!Z31*Assumptions!$B$21</f>
        <v>50.3080996897751</v>
      </c>
      <c r="AA9" s="28" t="n">
        <f aca="false">Funnel!AA31*Assumptions!$B$21</f>
        <v>48.7988566990819</v>
      </c>
      <c r="AB9" s="28" t="n">
        <f aca="false">Funnel!AB31*Assumptions!$B$21</f>
        <v>47.3348909981094</v>
      </c>
      <c r="AC9" s="28" t="n">
        <f aca="false">Funnel!AC31*Assumptions!$B$21</f>
        <v>45.9148442681661</v>
      </c>
      <c r="AD9" s="28" t="n">
        <f aca="false">Funnel!AD31*Assumptions!$B$21</f>
        <v>44.5373989401212</v>
      </c>
      <c r="AE9" s="28" t="n">
        <f aca="false">Funnel!AE31*Assumptions!$B$21</f>
        <v>43.2012769719175</v>
      </c>
      <c r="AF9" s="28" t="n">
        <f aca="false">Funnel!AF31*Assumptions!$B$21</f>
        <v>41.90523866276</v>
      </c>
      <c r="AG9" s="28" t="n">
        <f aca="false">Funnel!AG31*Assumptions!$B$21</f>
        <v>40.6480815028772</v>
      </c>
      <c r="AH9" s="28" t="n">
        <f aca="false">Funnel!AH31*Assumptions!$B$21</f>
        <v>39.4286390577909</v>
      </c>
      <c r="AI9" s="28" t="n">
        <f aca="false">Funnel!AI31*Assumptions!$B$21</f>
        <v>38.2457798860571</v>
      </c>
      <c r="AJ9" s="28" t="n">
        <f aca="false">Funnel!AJ31*Assumptions!$B$21</f>
        <v>37.0984064894754</v>
      </c>
      <c r="AK9" s="28" t="n">
        <f aca="false">Funnel!AK31*Assumptions!$B$21</f>
        <v>35.9854542947912</v>
      </c>
      <c r="AL9" s="28" t="n">
        <f aca="false">Funnel!AL31*Assumptions!$B$21</f>
        <v>34.9058906659474</v>
      </c>
    </row>
    <row r="10" customFormat="false" ht="15" hidden="false" customHeight="false" outlineLevel="0" collapsed="false">
      <c r="B10" s="2" t="s">
        <v>172</v>
      </c>
      <c r="C10" s="29" t="n">
        <f aca="false">SUM(C6:C9)</f>
        <v>230.325</v>
      </c>
      <c r="D10" s="29" t="n">
        <f aca="false">SUM(D6:D9)</f>
        <v>362.66805</v>
      </c>
      <c r="E10" s="29" t="n">
        <f aca="false">SUM(E6:E9)</f>
        <v>502.5352885</v>
      </c>
      <c r="F10" s="29" t="n">
        <f aca="false">SUM(F6:F9)</f>
        <v>651.010838645</v>
      </c>
      <c r="G10" s="29" t="n">
        <f aca="false">SUM(G6:G9)</f>
        <v>809.26615586165</v>
      </c>
      <c r="H10" s="29" t="n">
        <f aca="false">SUM(H6:H9)</f>
        <v>978.570198641721</v>
      </c>
      <c r="I10" s="29" t="n">
        <f aca="false">SUM(I6:I9)</f>
        <v>1160.30051312282</v>
      </c>
      <c r="J10" s="29" t="n">
        <f aca="false">SUM(J6:J9)</f>
        <v>1355.95533054395</v>
      </c>
      <c r="K10" s="29" t="n">
        <f aca="false">SUM(K6:K9)</f>
        <v>1567.16678597309</v>
      </c>
      <c r="L10" s="29" t="n">
        <f aca="false">SUM(L6:L9)</f>
        <v>1795.71537700105</v>
      </c>
      <c r="M10" s="29" t="n">
        <f aca="false">SUM(M6:M9)</f>
        <v>2043.54579246488</v>
      </c>
      <c r="N10" s="29" t="n">
        <f aca="false">SUM(N6:N9)</f>
        <v>2312.78425380886</v>
      </c>
      <c r="O10" s="29" t="n">
        <f aca="false">SUM(O6:O9)</f>
        <v>2605.75752552595</v>
      </c>
      <c r="P10" s="29" t="n">
        <f aca="false">SUM(P6:P9)</f>
        <v>2925.01376637408</v>
      </c>
      <c r="Q10" s="29" t="n">
        <f aca="false">SUM(Q6:Q9)</f>
        <v>3273.3454098683</v>
      </c>
      <c r="R10" s="29" t="n">
        <f aca="false">SUM(R6:R9)</f>
        <v>3653.81428106585</v>
      </c>
      <c r="S10" s="29" t="n">
        <f aca="false">SUM(S6:S9)</f>
        <v>4069.77917705361</v>
      </c>
      <c r="T10" s="29" t="n">
        <f aca="false">SUM(T6:T9)</f>
        <v>4524.926161004</v>
      </c>
      <c r="U10" s="29" t="n">
        <f aca="false">SUM(U6:U9)</f>
        <v>5023.30184438852</v>
      </c>
      <c r="V10" s="29" t="n">
        <f aca="false">SUM(V6:V9)</f>
        <v>5569.34995915455</v>
      </c>
      <c r="W10" s="29" t="n">
        <f aca="false">SUM(W6:W9)</f>
        <v>6167.95155162741</v>
      </c>
      <c r="X10" s="29" t="n">
        <f aca="false">SUM(X6:X9)</f>
        <v>6824.46916286892</v>
      </c>
      <c r="Y10" s="29" t="n">
        <f aca="false">SUM(Y6:Y9)</f>
        <v>7544.79539650561</v>
      </c>
      <c r="Z10" s="29" t="n">
        <f aca="false">SUM(Z6:Z9)</f>
        <v>8335.40631496493</v>
      </c>
      <c r="AA10" s="29" t="n">
        <f aca="false">SUM(AA6:AA9)</f>
        <v>9203.42014898823</v>
      </c>
      <c r="AB10" s="29" t="n">
        <f aca="false">SUM(AB6:AB9)</f>
        <v>10156.6618536259</v>
      </c>
      <c r="AC10" s="29" t="n">
        <f aca="false">SUM(AC6:AC9)</f>
        <v>11203.7340971016</v>
      </c>
      <c r="AD10" s="29" t="n">
        <f aca="false">SUM(AD6:AD9)</f>
        <v>12354.095327442</v>
      </c>
      <c r="AE10" s="29" t="n">
        <f aca="false">SUM(AE6:AE9)</f>
        <v>13618.1456261408</v>
      </c>
      <c r="AF10" s="29" t="n">
        <f aca="false">SUM(AF6:AF9)</f>
        <v>15007.3211289408</v>
      </c>
      <c r="AG10" s="29" t="n">
        <f aca="false">SUM(AG6:AG9)</f>
        <v>16534.1978717277</v>
      </c>
      <c r="AH10" s="29" t="n">
        <f aca="false">SUM(AH6:AH9)</f>
        <v>18212.6060052312</v>
      </c>
      <c r="AI10" s="29" t="n">
        <f aca="false">SUM(AI6:AI9)</f>
        <v>20057.7554165155</v>
      </c>
      <c r="AJ10" s="29" t="n">
        <f aca="false">SUM(AJ6:AJ9)</f>
        <v>22086.3738989571</v>
      </c>
      <c r="AK10" s="29" t="n">
        <f aca="false">SUM(AK6:AK9)</f>
        <v>24316.8591265036</v>
      </c>
      <c r="AL10" s="29" t="n">
        <f aca="false">SUM(AL6:AL9)</f>
        <v>26769.4458135199</v>
      </c>
    </row>
    <row r="11" customFormat="false" ht="15" hidden="false" customHeight="false" outlineLevel="0" collapsed="false">
      <c r="B11" s="3" t="s">
        <v>173</v>
      </c>
      <c r="C11" s="28" t="n">
        <f aca="false">Funnel!C36*Assumptions!$B$20</f>
        <v>0</v>
      </c>
      <c r="D11" s="28" t="n">
        <f aca="false">Funnel!D36*Assumptions!$B$20</f>
        <v>0</v>
      </c>
      <c r="E11" s="28" t="n">
        <f aca="false">Funnel!E36*Assumptions!$B$20</f>
        <v>500</v>
      </c>
      <c r="F11" s="28" t="n">
        <f aca="false">Funnel!F36*Assumptions!$B$20</f>
        <v>495</v>
      </c>
      <c r="G11" s="28" t="n">
        <f aca="false">Funnel!G36*Assumptions!$B$20</f>
        <v>490.05</v>
      </c>
      <c r="H11" s="28" t="n">
        <f aca="false">Funnel!H36*Assumptions!$B$20</f>
        <v>485.1495</v>
      </c>
      <c r="I11" s="28" t="n">
        <f aca="false">Funnel!I36*Assumptions!$B$20</f>
        <v>480.298005</v>
      </c>
      <c r="J11" s="28" t="n">
        <f aca="false">Funnel!J36*Assumptions!$B$20</f>
        <v>475.49502495</v>
      </c>
      <c r="K11" s="28" t="n">
        <f aca="false">Funnel!K36*Assumptions!$B$20</f>
        <v>470.7400747005</v>
      </c>
      <c r="L11" s="28" t="n">
        <f aca="false">Funnel!L36*Assumptions!$B$20</f>
        <v>466.032673953495</v>
      </c>
      <c r="M11" s="28" t="n">
        <f aca="false">Funnel!M36*Assumptions!$B$20</f>
        <v>461.37234721396</v>
      </c>
      <c r="N11" s="28" t="n">
        <f aca="false">Funnel!N36*Assumptions!$B$20</f>
        <v>456.758623741821</v>
      </c>
      <c r="O11" s="28" t="n">
        <f aca="false">Funnel!O36*Assumptions!$B$20</f>
        <v>452.191037504402</v>
      </c>
      <c r="P11" s="28" t="n">
        <f aca="false">Funnel!P36*Assumptions!$B$20</f>
        <v>447.669127129358</v>
      </c>
      <c r="Q11" s="28" t="n">
        <f aca="false">Funnel!Q36*Assumptions!$B$20</f>
        <v>443.192435858065</v>
      </c>
      <c r="R11" s="28" t="n">
        <f aca="false">Funnel!R36*Assumptions!$B$20</f>
        <v>438.760511499484</v>
      </c>
      <c r="S11" s="28" t="n">
        <f aca="false">Funnel!S36*Assumptions!$B$20</f>
        <v>434.372906384489</v>
      </c>
      <c r="T11" s="28" t="n">
        <f aca="false">Funnel!T36*Assumptions!$B$20</f>
        <v>430.029177320644</v>
      </c>
      <c r="U11" s="28" t="n">
        <f aca="false">Funnel!U36*Assumptions!$B$20</f>
        <v>425.728885547438</v>
      </c>
      <c r="V11" s="28" t="n">
        <f aca="false">Funnel!V36*Assumptions!$B$20</f>
        <v>421.471596691963</v>
      </c>
      <c r="W11" s="28" t="n">
        <f aca="false">Funnel!W36*Assumptions!$B$20</f>
        <v>417.256880725044</v>
      </c>
      <c r="X11" s="28" t="n">
        <f aca="false">Funnel!X36*Assumptions!$B$20</f>
        <v>413.084311917793</v>
      </c>
      <c r="Y11" s="28" t="n">
        <f aca="false">Funnel!Y36*Assumptions!$B$20</f>
        <v>408.953468798615</v>
      </c>
      <c r="Z11" s="28" t="n">
        <f aca="false">Funnel!Z36*Assumptions!$B$20</f>
        <v>404.863934110629</v>
      </c>
      <c r="AA11" s="28" t="n">
        <f aca="false">Funnel!AA36*Assumptions!$B$20</f>
        <v>400.815294769523</v>
      </c>
      <c r="AB11" s="28" t="n">
        <f aca="false">Funnel!AB36*Assumptions!$B$20</f>
        <v>396.807141821828</v>
      </c>
      <c r="AC11" s="28" t="n">
        <f aca="false">Funnel!AC36*Assumptions!$B$20</f>
        <v>392.839070403609</v>
      </c>
      <c r="AD11" s="28" t="n">
        <f aca="false">Funnel!AD36*Assumptions!$B$20</f>
        <v>388.910679699573</v>
      </c>
      <c r="AE11" s="28" t="n">
        <f aca="false">Funnel!AE36*Assumptions!$B$20</f>
        <v>385.021572902578</v>
      </c>
      <c r="AF11" s="28" t="n">
        <f aca="false">Funnel!AF36*Assumptions!$B$20</f>
        <v>381.171357173552</v>
      </c>
      <c r="AG11" s="28" t="n">
        <f aca="false">Funnel!AG36*Assumptions!$B$20</f>
        <v>377.359643601816</v>
      </c>
      <c r="AH11" s="28" t="n">
        <f aca="false">Funnel!AH36*Assumptions!$B$20</f>
        <v>373.586047165798</v>
      </c>
      <c r="AI11" s="28" t="n">
        <f aca="false">Funnel!AI36*Assumptions!$B$20</f>
        <v>369.85018669414</v>
      </c>
      <c r="AJ11" s="28" t="n">
        <f aca="false">Funnel!AJ36*Assumptions!$B$20</f>
        <v>366.151684827199</v>
      </c>
      <c r="AK11" s="28" t="n">
        <f aca="false">Funnel!AK36*Assumptions!$B$20</f>
        <v>362.490167978927</v>
      </c>
      <c r="AL11" s="28" t="n">
        <f aca="false">Funnel!AL36*Assumptions!$B$20</f>
        <v>358.865266299138</v>
      </c>
    </row>
    <row r="12" customFormat="false" ht="15" hidden="false" customHeight="false" outlineLevel="0" collapsed="false">
      <c r="B12" s="2" t="s">
        <v>174</v>
      </c>
      <c r="C12" s="29" t="n">
        <f aca="false">C10+C11</f>
        <v>230.325</v>
      </c>
      <c r="D12" s="29" t="n">
        <f aca="false">D10+D11</f>
        <v>362.66805</v>
      </c>
      <c r="E12" s="29" t="n">
        <f aca="false">E10+E11</f>
        <v>1002.5352885</v>
      </c>
      <c r="F12" s="29" t="n">
        <f aca="false">F10+F11</f>
        <v>1146.010838645</v>
      </c>
      <c r="G12" s="29" t="n">
        <f aca="false">G10+G11</f>
        <v>1299.31615586165</v>
      </c>
      <c r="H12" s="29" t="n">
        <f aca="false">H10+H11</f>
        <v>1463.71969864172</v>
      </c>
      <c r="I12" s="29" t="n">
        <f aca="false">I10+I11</f>
        <v>1640.59851812282</v>
      </c>
      <c r="J12" s="29" t="n">
        <f aca="false">J10+J11</f>
        <v>1831.45035549395</v>
      </c>
      <c r="K12" s="29" t="n">
        <f aca="false">K10+K11</f>
        <v>2037.90686067359</v>
      </c>
      <c r="L12" s="29" t="n">
        <f aca="false">L10+L11</f>
        <v>2261.74805095455</v>
      </c>
      <c r="M12" s="29" t="n">
        <f aca="false">M10+M11</f>
        <v>2504.91813967884</v>
      </c>
      <c r="N12" s="29" t="n">
        <f aca="false">N10+N11</f>
        <v>2769.54287755068</v>
      </c>
      <c r="O12" s="29" t="n">
        <f aca="false">O10+O11</f>
        <v>3057.94856303035</v>
      </c>
      <c r="P12" s="29" t="n">
        <f aca="false">P10+P11</f>
        <v>3372.68289350344</v>
      </c>
      <c r="Q12" s="29" t="n">
        <f aca="false">Q10+Q11</f>
        <v>3716.53784572637</v>
      </c>
      <c r="R12" s="29" t="n">
        <f aca="false">R10+R11</f>
        <v>4092.57479256533</v>
      </c>
      <c r="S12" s="29" t="n">
        <f aca="false">S10+S11</f>
        <v>4504.1520834381</v>
      </c>
      <c r="T12" s="29" t="n">
        <f aca="false">T10+T11</f>
        <v>4954.95533832465</v>
      </c>
      <c r="U12" s="29" t="n">
        <f aca="false">U10+U11</f>
        <v>5449.03072993596</v>
      </c>
      <c r="V12" s="29" t="n">
        <f aca="false">V10+V11</f>
        <v>5990.82155584651</v>
      </c>
      <c r="W12" s="29" t="n">
        <f aca="false">W10+W11</f>
        <v>6585.20843235246</v>
      </c>
      <c r="X12" s="29" t="n">
        <f aca="false">X10+X11</f>
        <v>7237.55347478672</v>
      </c>
      <c r="Y12" s="29" t="n">
        <f aca="false">Y10+Y11</f>
        <v>7953.74886530423</v>
      </c>
      <c r="Z12" s="29" t="n">
        <f aca="false">Z10+Z11</f>
        <v>8740.27024907556</v>
      </c>
      <c r="AA12" s="29" t="n">
        <f aca="false">AA10+AA11</f>
        <v>9604.23544375776</v>
      </c>
      <c r="AB12" s="29" t="n">
        <f aca="false">AB10+AB11</f>
        <v>10553.4689954478</v>
      </c>
      <c r="AC12" s="29" t="n">
        <f aca="false">AC10+AC11</f>
        <v>11596.5731675052</v>
      </c>
      <c r="AD12" s="29" t="n">
        <f aca="false">AD10+AD11</f>
        <v>12743.0060071416</v>
      </c>
      <c r="AE12" s="29" t="n">
        <f aca="false">AE10+AE11</f>
        <v>14003.1671990433</v>
      </c>
      <c r="AF12" s="29" t="n">
        <f aca="false">AF10+AF11</f>
        <v>15388.4924861143</v>
      </c>
      <c r="AG12" s="29" t="n">
        <f aca="false">AG10+AG11</f>
        <v>16911.5575153295</v>
      </c>
      <c r="AH12" s="29" t="n">
        <f aca="false">AH10+AH11</f>
        <v>18586.192052397</v>
      </c>
      <c r="AI12" s="29" t="n">
        <f aca="false">AI10+AI11</f>
        <v>20427.6056032096</v>
      </c>
      <c r="AJ12" s="29" t="n">
        <f aca="false">AJ10+AJ11</f>
        <v>22452.5255837843</v>
      </c>
      <c r="AK12" s="29" t="n">
        <f aca="false">AK10+AK11</f>
        <v>24679.3492944825</v>
      </c>
      <c r="AL12" s="29" t="n">
        <f aca="false">AL10+AL11</f>
        <v>27128.3110798191</v>
      </c>
    </row>
    <row r="13" customFormat="false" ht="15" hidden="false" customHeight="false" outlineLevel="0" collapsed="false">
      <c r="B13" s="3" t="s">
        <v>175</v>
      </c>
      <c r="C13" s="28" t="n">
        <f aca="false">Funnel!C12*Assumptions!$B$19</f>
        <v>238</v>
      </c>
      <c r="D13" s="28" t="n">
        <f aca="false">Funnel!D12*Assumptions!$B$19</f>
        <v>261.8</v>
      </c>
      <c r="E13" s="28" t="n">
        <f aca="false">Funnel!E12*Assumptions!$B$19</f>
        <v>287.98</v>
      </c>
      <c r="F13" s="28" t="n">
        <f aca="false">Funnel!F12*Assumptions!$B$19</f>
        <v>316.778</v>
      </c>
      <c r="G13" s="28" t="n">
        <f aca="false">Funnel!G12*Assumptions!$B$19</f>
        <v>348.4558</v>
      </c>
      <c r="H13" s="28" t="n">
        <f aca="false">Funnel!H12*Assumptions!$B$19</f>
        <v>383.30138</v>
      </c>
      <c r="I13" s="28" t="n">
        <f aca="false">Funnel!I12*Assumptions!$B$19</f>
        <v>421.631518</v>
      </c>
      <c r="J13" s="28" t="n">
        <f aca="false">Funnel!J12*Assumptions!$B$19</f>
        <v>463.7946698</v>
      </c>
      <c r="K13" s="28" t="n">
        <f aca="false">Funnel!K12*Assumptions!$B$19</f>
        <v>510.17413678</v>
      </c>
      <c r="L13" s="28" t="n">
        <f aca="false">Funnel!L12*Assumptions!$B$19</f>
        <v>561.191550458</v>
      </c>
      <c r="M13" s="28" t="n">
        <f aca="false">Funnel!M12*Assumptions!$B$19</f>
        <v>617.3107055038</v>
      </c>
      <c r="N13" s="28" t="n">
        <f aca="false">Funnel!N12*Assumptions!$B$19</f>
        <v>679.04177605418</v>
      </c>
      <c r="O13" s="28" t="n">
        <f aca="false">Funnel!O12*Assumptions!$B$19</f>
        <v>746.945953659599</v>
      </c>
      <c r="P13" s="28" t="n">
        <f aca="false">Funnel!P12*Assumptions!$B$19</f>
        <v>821.640549025558</v>
      </c>
      <c r="Q13" s="28" t="n">
        <f aca="false">Funnel!Q12*Assumptions!$B$19</f>
        <v>903.804603928114</v>
      </c>
      <c r="R13" s="28" t="n">
        <f aca="false">Funnel!R12*Assumptions!$B$19</f>
        <v>994.185064320926</v>
      </c>
      <c r="S13" s="28" t="n">
        <f aca="false">Funnel!S12*Assumptions!$B$19</f>
        <v>1093.60357075302</v>
      </c>
      <c r="T13" s="28" t="n">
        <f aca="false">Funnel!T12*Assumptions!$B$19</f>
        <v>1202.96392782832</v>
      </c>
      <c r="U13" s="28" t="n">
        <f aca="false">Funnel!U12*Assumptions!$B$19</f>
        <v>1323.26032061115</v>
      </c>
      <c r="V13" s="28" t="n">
        <f aca="false">Funnel!V12*Assumptions!$B$19</f>
        <v>1455.58635267227</v>
      </c>
      <c r="W13" s="28" t="n">
        <f aca="false">Funnel!W12*Assumptions!$B$19</f>
        <v>1601.1449879395</v>
      </c>
      <c r="X13" s="28" t="n">
        <f aca="false">Funnel!X12*Assumptions!$B$19</f>
        <v>1761.25948673344</v>
      </c>
      <c r="Y13" s="28" t="n">
        <f aca="false">Funnel!Y12*Assumptions!$B$19</f>
        <v>1937.38543540679</v>
      </c>
      <c r="Z13" s="28" t="n">
        <f aca="false">Funnel!Z12*Assumptions!$B$19</f>
        <v>2131.12397894747</v>
      </c>
      <c r="AA13" s="28" t="n">
        <f aca="false">Funnel!AA12*Assumptions!$B$19</f>
        <v>2344.23637684222</v>
      </c>
      <c r="AB13" s="28" t="n">
        <f aca="false">Funnel!AB12*Assumptions!$B$19</f>
        <v>2578.66001452644</v>
      </c>
      <c r="AC13" s="28" t="n">
        <f aca="false">Funnel!AC12*Assumptions!$B$19</f>
        <v>2836.52601597908</v>
      </c>
      <c r="AD13" s="28" t="n">
        <f aca="false">Funnel!AD12*Assumptions!$B$19</f>
        <v>3120.17861757699</v>
      </c>
      <c r="AE13" s="28" t="n">
        <f aca="false">Funnel!AE12*Assumptions!$B$19</f>
        <v>3432.19647933469</v>
      </c>
      <c r="AF13" s="28" t="n">
        <f aca="false">Funnel!AF12*Assumptions!$B$19</f>
        <v>3775.41612726816</v>
      </c>
      <c r="AG13" s="28" t="n">
        <f aca="false">Funnel!AG12*Assumptions!$B$19</f>
        <v>4152.95773999497</v>
      </c>
      <c r="AH13" s="28" t="n">
        <f aca="false">Funnel!AH12*Assumptions!$B$19</f>
        <v>4568.25351399447</v>
      </c>
      <c r="AI13" s="28" t="n">
        <f aca="false">Funnel!AI12*Assumptions!$B$19</f>
        <v>5025.07886539392</v>
      </c>
      <c r="AJ13" s="28" t="n">
        <f aca="false">Funnel!AJ12*Assumptions!$B$19</f>
        <v>5527.58675193331</v>
      </c>
      <c r="AK13" s="28" t="n">
        <f aca="false">Funnel!AK12*Assumptions!$B$19</f>
        <v>6080.34542712664</v>
      </c>
      <c r="AL13" s="28" t="n">
        <f aca="false">Funnel!AL12*Assumptions!$B$19</f>
        <v>6688.37996983931</v>
      </c>
    </row>
    <row r="14" customFormat="false" ht="15" hidden="false" customHeight="false" outlineLevel="0" collapsed="false">
      <c r="B14" s="2" t="s">
        <v>176</v>
      </c>
      <c r="C14" s="29" t="n">
        <f aca="false">C12+C13</f>
        <v>468.325</v>
      </c>
      <c r="D14" s="29" t="n">
        <f aca="false">D12+D13</f>
        <v>624.46805</v>
      </c>
      <c r="E14" s="29" t="n">
        <f aca="false">E12+E13</f>
        <v>1290.5152885</v>
      </c>
      <c r="F14" s="29" t="n">
        <f aca="false">F12+F13</f>
        <v>1462.788838645</v>
      </c>
      <c r="G14" s="29" t="n">
        <f aca="false">G12+G13</f>
        <v>1647.77195586165</v>
      </c>
      <c r="H14" s="29" t="n">
        <f aca="false">H12+H13</f>
        <v>1847.02107864172</v>
      </c>
      <c r="I14" s="29" t="n">
        <f aca="false">I12+I13</f>
        <v>2062.23003612282</v>
      </c>
      <c r="J14" s="29" t="n">
        <f aca="false">J12+J13</f>
        <v>2295.24502529395</v>
      </c>
      <c r="K14" s="29" t="n">
        <f aca="false">K12+K13</f>
        <v>2548.08099745359</v>
      </c>
      <c r="L14" s="29" t="n">
        <f aca="false">L12+L13</f>
        <v>2822.93960141255</v>
      </c>
      <c r="M14" s="29" t="n">
        <f aca="false">M12+M13</f>
        <v>3122.22884518264</v>
      </c>
      <c r="N14" s="29" t="n">
        <f aca="false">N12+N13</f>
        <v>3448.58465360486</v>
      </c>
      <c r="O14" s="29" t="n">
        <f aca="false">O12+O13</f>
        <v>3804.89451668995</v>
      </c>
      <c r="P14" s="29" t="n">
        <f aca="false">P12+P13</f>
        <v>4194.323442529</v>
      </c>
      <c r="Q14" s="29" t="n">
        <f aca="false">Q12+Q13</f>
        <v>4620.34244965448</v>
      </c>
      <c r="R14" s="29" t="n">
        <f aca="false">R12+R13</f>
        <v>5086.75985688626</v>
      </c>
      <c r="S14" s="29" t="n">
        <f aca="false">S12+S13</f>
        <v>5597.75565419112</v>
      </c>
      <c r="T14" s="29" t="n">
        <f aca="false">T12+T13</f>
        <v>6157.91926615297</v>
      </c>
      <c r="U14" s="29" t="n">
        <f aca="false">U12+U13</f>
        <v>6772.29105054711</v>
      </c>
      <c r="V14" s="29" t="n">
        <f aca="false">V12+V13</f>
        <v>7446.40790851878</v>
      </c>
      <c r="W14" s="29" t="n">
        <f aca="false">W12+W13</f>
        <v>8186.35342029195</v>
      </c>
      <c r="X14" s="29" t="n">
        <f aca="false">X12+X13</f>
        <v>8998.81296152016</v>
      </c>
      <c r="Y14" s="29" t="n">
        <f aca="false">Y12+Y13</f>
        <v>9891.13430071102</v>
      </c>
      <c r="Z14" s="29" t="n">
        <f aca="false">Z12+Z13</f>
        <v>10871.394228023</v>
      </c>
      <c r="AA14" s="29" t="n">
        <f aca="false">AA12+AA13</f>
        <v>11948.4718206</v>
      </c>
      <c r="AB14" s="29" t="n">
        <f aca="false">AB12+AB13</f>
        <v>13132.1290099742</v>
      </c>
      <c r="AC14" s="29" t="n">
        <f aca="false">AC12+AC13</f>
        <v>14433.0991834843</v>
      </c>
      <c r="AD14" s="29" t="n">
        <f aca="false">AD12+AD13</f>
        <v>15863.1846247186</v>
      </c>
      <c r="AE14" s="29" t="n">
        <f aca="false">AE12+AE13</f>
        <v>17435.363678378</v>
      </c>
      <c r="AF14" s="29" t="n">
        <f aca="false">AF12+AF13</f>
        <v>19163.9086133825</v>
      </c>
      <c r="AG14" s="29" t="n">
        <f aca="false">AG12+AG13</f>
        <v>21064.5152553245</v>
      </c>
      <c r="AH14" s="29" t="n">
        <f aca="false">AH12+AH13</f>
        <v>23154.4455663914</v>
      </c>
      <c r="AI14" s="29" t="n">
        <f aca="false">AI12+AI13</f>
        <v>25452.6844686036</v>
      </c>
      <c r="AJ14" s="29" t="n">
        <f aca="false">AJ12+AJ13</f>
        <v>27980.1123357176</v>
      </c>
      <c r="AK14" s="29" t="n">
        <f aca="false">AK12+AK13</f>
        <v>30759.6947216092</v>
      </c>
      <c r="AL14" s="29" t="n">
        <f aca="false">AL12+AL13</f>
        <v>33816.6910496584</v>
      </c>
    </row>
    <row r="15" customFormat="false" ht="15" hidden="false" customHeight="false" outlineLevel="0" collapsed="false">
      <c r="B15" s="2" t="s">
        <v>177</v>
      </c>
      <c r="C15" s="28" t="n">
        <f aca="false">C12*12</f>
        <v>2763.9</v>
      </c>
      <c r="D15" s="28" t="n">
        <f aca="false">D12*12</f>
        <v>4352.0166</v>
      </c>
      <c r="E15" s="28" t="n">
        <f aca="false">E12*12</f>
        <v>12030.423462</v>
      </c>
      <c r="F15" s="28" t="n">
        <f aca="false">F12*12</f>
        <v>13752.13006374</v>
      </c>
      <c r="G15" s="28" t="n">
        <f aca="false">G12*12</f>
        <v>15591.7938703398</v>
      </c>
      <c r="H15" s="28" t="n">
        <f aca="false">H12*12</f>
        <v>17564.6363837007</v>
      </c>
      <c r="I15" s="28" t="n">
        <f aca="false">I12*12</f>
        <v>19687.1822174738</v>
      </c>
      <c r="J15" s="28" t="n">
        <f aca="false">J12*12</f>
        <v>21977.4042659273</v>
      </c>
      <c r="K15" s="28" t="n">
        <f aca="false">K12*12</f>
        <v>24454.8823280831</v>
      </c>
      <c r="L15" s="28" t="n">
        <f aca="false">L12*12</f>
        <v>27140.9766114546</v>
      </c>
      <c r="M15" s="28" t="n">
        <f aca="false">M12*12</f>
        <v>30059.0176761461</v>
      </c>
      <c r="N15" s="28" t="n">
        <f aca="false">N12*12</f>
        <v>33234.5145306081</v>
      </c>
      <c r="O15" s="28" t="n">
        <f aca="false">O12*12</f>
        <v>36695.3827563642</v>
      </c>
      <c r="P15" s="28" t="n">
        <f aca="false">P12*12</f>
        <v>40472.1947220412</v>
      </c>
      <c r="Q15" s="28" t="n">
        <f aca="false">Q12*12</f>
        <v>44598.4541487164</v>
      </c>
      <c r="R15" s="28" t="n">
        <f aca="false">R12*12</f>
        <v>49110.897510784</v>
      </c>
      <c r="S15" s="28" t="n">
        <f aca="false">S12*12</f>
        <v>54049.8250012572</v>
      </c>
      <c r="T15" s="28" t="n">
        <f aca="false">T12*12</f>
        <v>59459.4640598958</v>
      </c>
      <c r="U15" s="28" t="n">
        <f aca="false">U12*12</f>
        <v>65388.3687592315</v>
      </c>
      <c r="V15" s="28" t="n">
        <f aca="false">V12*12</f>
        <v>71889.8586701581</v>
      </c>
      <c r="W15" s="28" t="n">
        <f aca="false">W12*12</f>
        <v>79022.5011882295</v>
      </c>
      <c r="X15" s="28" t="n">
        <f aca="false">X12*12</f>
        <v>86850.6416974406</v>
      </c>
      <c r="Y15" s="28" t="n">
        <f aca="false">Y12*12</f>
        <v>95444.9863836507</v>
      </c>
      <c r="Z15" s="28" t="n">
        <f aca="false">Z12*12</f>
        <v>104883.242988907</v>
      </c>
      <c r="AA15" s="28" t="n">
        <f aca="false">AA12*12</f>
        <v>115250.825325093</v>
      </c>
      <c r="AB15" s="28" t="n">
        <f aca="false">AB12*12</f>
        <v>126641.627945373</v>
      </c>
      <c r="AC15" s="28" t="n">
        <f aca="false">AC12*12</f>
        <v>139158.878010063</v>
      </c>
      <c r="AD15" s="28" t="n">
        <f aca="false">AD12*12</f>
        <v>152916.072085699</v>
      </c>
      <c r="AE15" s="28" t="n">
        <f aca="false">AE12*12</f>
        <v>168038.00638852</v>
      </c>
      <c r="AF15" s="28" t="n">
        <f aca="false">AF12*12</f>
        <v>184661.909833372</v>
      </c>
      <c r="AG15" s="28" t="n">
        <f aca="false">AG12*12</f>
        <v>202938.690183954</v>
      </c>
      <c r="AH15" s="28" t="n">
        <f aca="false">AH12*12</f>
        <v>223034.304628764</v>
      </c>
      <c r="AI15" s="28" t="n">
        <f aca="false">AI12*12</f>
        <v>245131.267238516</v>
      </c>
      <c r="AJ15" s="28" t="n">
        <f aca="false">AJ12*12</f>
        <v>269430.307005411</v>
      </c>
      <c r="AK15" s="28" t="n">
        <f aca="false">AK12*12</f>
        <v>296152.19153379</v>
      </c>
      <c r="AL15" s="28" t="n">
        <f aca="false">AL12*12</f>
        <v>325539.732957829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8" min="3" style="0" width="10"/>
  </cols>
  <sheetData>
    <row r="1" customFormat="false" ht="16.15" hidden="false" customHeight="false" outlineLevel="0" collapsed="false">
      <c r="B1" s="1" t="s">
        <v>178</v>
      </c>
    </row>
    <row r="3" customFormat="false" ht="15" hidden="false" customHeight="false" outlineLevel="0" collapsed="false">
      <c r="B3" s="2" t="s">
        <v>146</v>
      </c>
      <c r="C3" s="19" t="n">
        <v>1</v>
      </c>
      <c r="D3" s="19" t="n">
        <v>2</v>
      </c>
      <c r="E3" s="19" t="n">
        <v>3</v>
      </c>
      <c r="F3" s="19" t="n">
        <v>4</v>
      </c>
      <c r="G3" s="19" t="n">
        <v>5</v>
      </c>
      <c r="H3" s="19" t="n">
        <v>6</v>
      </c>
      <c r="I3" s="19" t="n">
        <v>7</v>
      </c>
      <c r="J3" s="19" t="n">
        <v>8</v>
      </c>
      <c r="K3" s="19" t="n">
        <v>9</v>
      </c>
      <c r="L3" s="19" t="n">
        <v>10</v>
      </c>
      <c r="M3" s="19" t="n">
        <v>11</v>
      </c>
      <c r="N3" s="19" t="n">
        <v>12</v>
      </c>
      <c r="O3" s="19" t="n">
        <v>13</v>
      </c>
      <c r="P3" s="19" t="n">
        <v>14</v>
      </c>
      <c r="Q3" s="19" t="n">
        <v>15</v>
      </c>
      <c r="R3" s="19" t="n">
        <v>16</v>
      </c>
      <c r="S3" s="19" t="n">
        <v>17</v>
      </c>
      <c r="T3" s="19" t="n">
        <v>18</v>
      </c>
      <c r="U3" s="19" t="n">
        <v>19</v>
      </c>
      <c r="V3" s="19" t="n">
        <v>20</v>
      </c>
      <c r="W3" s="19" t="n">
        <v>21</v>
      </c>
      <c r="X3" s="19" t="n">
        <v>22</v>
      </c>
      <c r="Y3" s="19" t="n">
        <v>23</v>
      </c>
      <c r="Z3" s="19" t="n">
        <v>24</v>
      </c>
      <c r="AA3" s="19" t="n">
        <v>25</v>
      </c>
      <c r="AB3" s="19" t="n">
        <v>26</v>
      </c>
      <c r="AC3" s="19" t="n">
        <v>27</v>
      </c>
      <c r="AD3" s="19" t="n">
        <v>28</v>
      </c>
      <c r="AE3" s="19" t="n">
        <v>29</v>
      </c>
      <c r="AF3" s="19" t="n">
        <v>30</v>
      </c>
      <c r="AG3" s="19" t="n">
        <v>31</v>
      </c>
      <c r="AH3" s="19" t="n">
        <v>32</v>
      </c>
      <c r="AI3" s="19" t="n">
        <v>33</v>
      </c>
      <c r="AJ3" s="19" t="n">
        <v>34</v>
      </c>
      <c r="AK3" s="19" t="n">
        <v>35</v>
      </c>
      <c r="AL3" s="19" t="n">
        <v>36</v>
      </c>
    </row>
    <row r="4" customFormat="false" ht="15" hidden="false" customHeight="false" outlineLevel="0" collapsed="false">
      <c r="B4" s="2" t="s">
        <v>147</v>
      </c>
      <c r="C4" s="20" t="n">
        <f aca="false">Assumptions!$B$5</f>
        <v>46296</v>
      </c>
      <c r="D4" s="21" t="n">
        <f aca="false">EDATE(C4,1)</f>
        <v>46327</v>
      </c>
      <c r="E4" s="21" t="n">
        <f aca="false">EDATE(D4,1)</f>
        <v>46357</v>
      </c>
      <c r="F4" s="21" t="n">
        <f aca="false">EDATE(E4,1)</f>
        <v>46388</v>
      </c>
      <c r="G4" s="21" t="n">
        <f aca="false">EDATE(F4,1)</f>
        <v>46419</v>
      </c>
      <c r="H4" s="21" t="n">
        <f aca="false">EDATE(G4,1)</f>
        <v>46447</v>
      </c>
      <c r="I4" s="21" t="n">
        <f aca="false">EDATE(H4,1)</f>
        <v>46478</v>
      </c>
      <c r="J4" s="21" t="n">
        <f aca="false">EDATE(I4,1)</f>
        <v>46508</v>
      </c>
      <c r="K4" s="21" t="n">
        <f aca="false">EDATE(J4,1)</f>
        <v>46539</v>
      </c>
      <c r="L4" s="21" t="n">
        <f aca="false">EDATE(K4,1)</f>
        <v>46569</v>
      </c>
      <c r="M4" s="21" t="n">
        <f aca="false">EDATE(L4,1)</f>
        <v>46600</v>
      </c>
      <c r="N4" s="21" t="n">
        <f aca="false">EDATE(M4,1)</f>
        <v>46631</v>
      </c>
      <c r="O4" s="21" t="n">
        <f aca="false">EDATE(N4,1)</f>
        <v>46661</v>
      </c>
      <c r="P4" s="21" t="n">
        <f aca="false">EDATE(O4,1)</f>
        <v>46692</v>
      </c>
      <c r="Q4" s="21" t="n">
        <f aca="false">EDATE(P4,1)</f>
        <v>46722</v>
      </c>
      <c r="R4" s="21" t="n">
        <f aca="false">EDATE(Q4,1)</f>
        <v>46753</v>
      </c>
      <c r="S4" s="21" t="n">
        <f aca="false">EDATE(R4,1)</f>
        <v>46784</v>
      </c>
      <c r="T4" s="21" t="n">
        <f aca="false">EDATE(S4,1)</f>
        <v>46813</v>
      </c>
      <c r="U4" s="21" t="n">
        <f aca="false">EDATE(T4,1)</f>
        <v>46844</v>
      </c>
      <c r="V4" s="21" t="n">
        <f aca="false">EDATE(U4,1)</f>
        <v>46874</v>
      </c>
      <c r="W4" s="21" t="n">
        <f aca="false">EDATE(V4,1)</f>
        <v>46905</v>
      </c>
      <c r="X4" s="21" t="n">
        <f aca="false">EDATE(W4,1)</f>
        <v>46935</v>
      </c>
      <c r="Y4" s="21" t="n">
        <f aca="false">EDATE(X4,1)</f>
        <v>46966</v>
      </c>
      <c r="Z4" s="21" t="n">
        <f aca="false">EDATE(Y4,1)</f>
        <v>46997</v>
      </c>
      <c r="AA4" s="21" t="n">
        <f aca="false">EDATE(Z4,1)</f>
        <v>47027</v>
      </c>
      <c r="AB4" s="21" t="n">
        <f aca="false">EDATE(AA4,1)</f>
        <v>47058</v>
      </c>
      <c r="AC4" s="21" t="n">
        <f aca="false">EDATE(AB4,1)</f>
        <v>47088</v>
      </c>
      <c r="AD4" s="21" t="n">
        <f aca="false">EDATE(AC4,1)</f>
        <v>47119</v>
      </c>
      <c r="AE4" s="21" t="n">
        <f aca="false">EDATE(AD4,1)</f>
        <v>47150</v>
      </c>
      <c r="AF4" s="21" t="n">
        <f aca="false">EDATE(AE4,1)</f>
        <v>47178</v>
      </c>
      <c r="AG4" s="21" t="n">
        <f aca="false">EDATE(AF4,1)</f>
        <v>47209</v>
      </c>
      <c r="AH4" s="21" t="n">
        <f aca="false">EDATE(AG4,1)</f>
        <v>47239</v>
      </c>
      <c r="AI4" s="21" t="n">
        <f aca="false">EDATE(AH4,1)</f>
        <v>47270</v>
      </c>
      <c r="AJ4" s="21" t="n">
        <f aca="false">EDATE(AI4,1)</f>
        <v>47300</v>
      </c>
      <c r="AK4" s="21" t="n">
        <f aca="false">EDATE(AJ4,1)</f>
        <v>47331</v>
      </c>
      <c r="AL4" s="21" t="n">
        <f aca="false">EDATE(AK4,1)</f>
        <v>47362</v>
      </c>
    </row>
    <row r="6" customFormat="false" ht="15" hidden="false" customHeight="false" outlineLevel="0" collapsed="false">
      <c r="B6" s="3" t="s">
        <v>179</v>
      </c>
      <c r="C6" s="24" t="n">
        <f aca="false">Funnel!C17*Assumptions!$B$44*Assumptions!$B$47</f>
        <v>1.92</v>
      </c>
      <c r="D6" s="24" t="n">
        <f aca="false">Funnel!D17*Assumptions!$B$44*Assumptions!$B$47</f>
        <v>3.8784</v>
      </c>
      <c r="E6" s="24" t="n">
        <f aca="false">Funnel!E17*Assumptions!$B$44*Assumptions!$B$47</f>
        <v>5.891328</v>
      </c>
      <c r="F6" s="24" t="n">
        <f aca="false">Funnel!F17*Assumptions!$B$44*Assumptions!$B$47</f>
        <v>7.97554176</v>
      </c>
      <c r="G6" s="24" t="n">
        <f aca="false">Funnel!G17*Assumptions!$B$44*Assumptions!$B$47</f>
        <v>10.1485704192</v>
      </c>
      <c r="H6" s="24" t="n">
        <f aca="false">Funnel!H17*Assumptions!$B$44*Assumptions!$B$47</f>
        <v>12.428863985664</v>
      </c>
      <c r="I6" s="24" t="n">
        <f aca="false">Funnel!I17*Assumptions!$B$44*Assumptions!$B$47</f>
        <v>14.8359519868109</v>
      </c>
      <c r="J6" s="24" t="n">
        <f aca="false">Funnel!J17*Assumptions!$B$44*Assumptions!$B$47</f>
        <v>17.390612659866</v>
      </c>
      <c r="K6" s="24" t="n">
        <f aca="false">Funnel!K17*Assumptions!$B$44*Assumptions!$B$47</f>
        <v>20.1150541622767</v>
      </c>
      <c r="L6" s="24" t="n">
        <f aca="false">Funnel!L17*Assumptions!$B$44*Assumptions!$B$47</f>
        <v>23.0331093960146</v>
      </c>
      <c r="M6" s="24" t="n">
        <f aca="false">Funnel!M17*Assumptions!$B$44*Assumptions!$B$47</f>
        <v>26.1704461677254</v>
      </c>
      <c r="N6" s="24" t="n">
        <f aca="false">Funnel!N17*Assumptions!$B$44*Assumptions!$B$47</f>
        <v>29.5547945500386</v>
      </c>
      <c r="O6" s="24" t="n">
        <f aca="false">Funnel!O17*Assumptions!$B$44*Assumptions!$B$47</f>
        <v>33.2161934693398</v>
      </c>
      <c r="P6" s="24" t="n">
        <f aca="false">Funnel!P17*Assumptions!$B$44*Assumptions!$B$47</f>
        <v>37.1872587234274</v>
      </c>
      <c r="Q6" s="24" t="n">
        <f aca="false">Funnel!Q17*Assumptions!$B$44*Assumptions!$B$47</f>
        <v>41.5034748303514</v>
      </c>
      <c r="R6" s="24" t="n">
        <f aca="false">Funnel!R17*Assumptions!$B$44*Assumptions!$B$47</f>
        <v>46.2035133292014</v>
      </c>
      <c r="S6" s="24" t="n">
        <f aca="false">Funnel!S17*Assumptions!$B$44*Assumptions!$B$47</f>
        <v>51.3295803966711</v>
      </c>
      <c r="T6" s="24" t="n">
        <f aca="false">Funnel!T17*Assumptions!$B$44*Assumptions!$B$47</f>
        <v>56.9277969121239</v>
      </c>
      <c r="U6" s="24" t="n">
        <f aca="false">Funnel!U17*Assumptions!$B$44*Assumptions!$B$47</f>
        <v>63.0486144010591</v>
      </c>
      <c r="V6" s="24" t="n">
        <f aca="false">Funnel!V17*Assumptions!$B$44*Assumptions!$B$47</f>
        <v>69.74727061507</v>
      </c>
      <c r="W6" s="24" t="n">
        <f aca="false">Funnel!W17*Assumptions!$B$44*Assumptions!$B$47</f>
        <v>77.0842888685695</v>
      </c>
      <c r="X6" s="24" t="n">
        <f aca="false">Funnel!X17*Assumptions!$B$44*Assumptions!$B$47</f>
        <v>85.1260256520597</v>
      </c>
      <c r="Y6" s="24" t="n">
        <f aca="false">Funnel!Y17*Assumptions!$B$44*Assumptions!$B$47</f>
        <v>93.9452714821682</v>
      </c>
      <c r="Z6" s="24" t="n">
        <f aca="false">Funnel!Z17*Assumptions!$B$44*Assumptions!$B$47</f>
        <v>103.621910434095</v>
      </c>
      <c r="AA6" s="24" t="n">
        <f aca="false">Funnel!AA17*Assumptions!$B$44*Assumptions!$B$47</f>
        <v>114.243644336918</v>
      </c>
      <c r="AB6" s="24" t="n">
        <f aca="false">Funnel!AB17*Assumptions!$B$44*Assumptions!$B$47</f>
        <v>125.906788201271</v>
      </c>
      <c r="AC6" s="24" t="n">
        <f aca="false">Funnel!AC17*Assumptions!$B$44*Assumptions!$B$47</f>
        <v>138.717144097605</v>
      </c>
      <c r="AD6" s="24" t="n">
        <f aca="false">Funnel!AD17*Assumptions!$B$44*Assumptions!$B$47</f>
        <v>152.790961417477</v>
      </c>
      <c r="AE6" s="24" t="n">
        <f aca="false">Funnel!AE17*Assumptions!$B$44*Assumptions!$B$47</f>
        <v>168.255992236526</v>
      </c>
      <c r="AF6" s="24" t="n">
        <f aca="false">Funnel!AF17*Assumptions!$B$44*Assumptions!$B$47</f>
        <v>185.252651363297</v>
      </c>
      <c r="AG6" s="24" t="n">
        <f aca="false">Funnel!AG17*Assumptions!$B$44*Assumptions!$B$47</f>
        <v>203.935291610495</v>
      </c>
      <c r="AH6" s="24" t="n">
        <f aca="false">Funnel!AH17*Assumptions!$B$44*Assumptions!$B$47</f>
        <v>224.473605873544</v>
      </c>
      <c r="AI6" s="24" t="n">
        <f aca="false">Funnel!AI17*Assumptions!$B$44*Assumptions!$B$47</f>
        <v>247.054168754737</v>
      </c>
      <c r="AJ6" s="24" t="n">
        <f aca="false">Funnel!AJ17*Assumptions!$B$44*Assumptions!$B$47</f>
        <v>271.882131740543</v>
      </c>
      <c r="AK6" s="24" t="n">
        <f aca="false">Funnel!AK17*Assumptions!$B$44*Assumptions!$B$47</f>
        <v>299.183087336103</v>
      </c>
      <c r="AL6" s="24" t="n">
        <f aca="false">Funnel!AL17*Assumptions!$B$44*Assumptions!$B$47</f>
        <v>329.205119097498</v>
      </c>
    </row>
    <row r="7" customFormat="false" ht="15" hidden="false" customHeight="false" outlineLevel="0" collapsed="false">
      <c r="B7" s="3" t="s">
        <v>180</v>
      </c>
      <c r="C7" s="24" t="n">
        <f aca="false">Funnel!C22*Assumptions!$B$45*Assumptions!$B$47</f>
        <v>8.64</v>
      </c>
      <c r="D7" s="24" t="n">
        <f aca="false">Funnel!D22*Assumptions!$B$45*Assumptions!$B$47</f>
        <v>17.712</v>
      </c>
      <c r="E7" s="24" t="n">
        <f aca="false">Funnel!E22*Assumptions!$B$45*Assumptions!$B$47</f>
        <v>27.2808</v>
      </c>
      <c r="F7" s="24" t="n">
        <f aca="false">Funnel!F22*Assumptions!$B$45*Assumptions!$B$47</f>
        <v>37.4166</v>
      </c>
      <c r="G7" s="24" t="n">
        <f aca="false">Funnel!G22*Assumptions!$B$45*Assumptions!$B$47</f>
        <v>48.195594</v>
      </c>
      <c r="H7" s="24" t="n">
        <f aca="false">Funnel!H22*Assumptions!$B$45*Assumptions!$B$47</f>
        <v>59.7006207</v>
      </c>
      <c r="I7" s="24" t="n">
        <f aca="false">Funnel!I22*Assumptions!$B$45*Assumptions!$B$47</f>
        <v>72.021876705</v>
      </c>
      <c r="J7" s="24" t="n">
        <f aca="false">Funnel!J22*Assumptions!$B$45*Assumptions!$B$47</f>
        <v>85.25769861375</v>
      </c>
      <c r="K7" s="24" t="n">
        <f aca="false">Funnel!K22*Assumptions!$B$45*Assumptions!$B$47</f>
        <v>99.5154210014625</v>
      </c>
      <c r="L7" s="24" t="n">
        <f aca="false">Funnel!L22*Assumptions!$B$45*Assumptions!$B$47</f>
        <v>114.912318001629</v>
      </c>
      <c r="M7" s="24" t="n">
        <f aca="false">Funnel!M22*Assumptions!$B$45*Assumptions!$B$47</f>
        <v>131.576636956812</v>
      </c>
      <c r="N7" s="24" t="n">
        <f aca="false">Funnel!N22*Assumptions!$B$45*Assumptions!$B$47</f>
        <v>149.648733449762</v>
      </c>
      <c r="O7" s="24" t="n">
        <f aca="false">Funnel!O22*Assumptions!$B$45*Assumptions!$B$47</f>
        <v>169.282317952143</v>
      </c>
      <c r="P7" s="24" t="n">
        <f aca="false">Funnel!P22*Assumptions!$B$45*Assumptions!$B$47</f>
        <v>190.645825346892</v>
      </c>
      <c r="Q7" s="24" t="n">
        <f aca="false">Funnel!Q22*Assumptions!$B$45*Assumptions!$B$47</f>
        <v>213.92391970114</v>
      </c>
      <c r="R7" s="24" t="n">
        <f aca="false">Funnel!R22*Assumptions!$B$45*Assumptions!$B$47</f>
        <v>239.319147899834</v>
      </c>
      <c r="S7" s="24" t="n">
        <f aca="false">Funnel!S22*Assumptions!$B$45*Assumptions!$B$47</f>
        <v>267.053757106969</v>
      </c>
      <c r="T7" s="24" t="n">
        <f aca="false">Funnel!T22*Assumptions!$B$45*Assumptions!$B$47</f>
        <v>297.371692513959</v>
      </c>
      <c r="U7" s="24" t="n">
        <f aca="false">Funnel!U22*Assumptions!$B$45*Assumptions!$B$47</f>
        <v>330.540793476834</v>
      </c>
      <c r="V7" s="24" t="n">
        <f aca="false">Funnel!V22*Assumptions!$B$45*Assumptions!$B$47</f>
        <v>366.855207950423</v>
      </c>
      <c r="W7" s="24" t="n">
        <f aca="false">Funnel!W22*Assumptions!$B$45*Assumptions!$B$47</f>
        <v>406.638047115075</v>
      </c>
      <c r="X7" s="24" t="n">
        <f aca="false">Funnel!X22*Assumptions!$B$45*Assumptions!$B$47</f>
        <v>450.244304277712</v>
      </c>
      <c r="Y7" s="24" t="n">
        <f aca="false">Funnel!Y22*Assumptions!$B$45*Assumptions!$B$47</f>
        <v>498.064064534056</v>
      </c>
      <c r="Z7" s="24" t="n">
        <f aca="false">Funnel!Z22*Assumptions!$B$45*Assumptions!$B$47</f>
        <v>550.526034324606</v>
      </c>
      <c r="AA7" s="24" t="n">
        <f aca="false">Funnel!AA22*Assumptions!$B$45*Assumptions!$B$47</f>
        <v>608.101422927353</v>
      </c>
      <c r="AB7" s="24" t="n">
        <f aca="false">Funnel!AB22*Assumptions!$B$45*Assumptions!$B$47</f>
        <v>671.308211131861</v>
      </c>
      <c r="AC7" s="24" t="n">
        <f aca="false">Funnel!AC22*Assumptions!$B$45*Assumptions!$B$47</f>
        <v>740.715845861232</v>
      </c>
      <c r="AD7" s="24" t="n">
        <f aca="false">Funnel!AD22*Assumptions!$B$45*Assumptions!$B$47</f>
        <v>816.95040338273</v>
      </c>
      <c r="AE7" s="24" t="n">
        <f aca="false">Funnel!AE22*Assumptions!$B$45*Assumptions!$B$47</f>
        <v>900.700268009609</v>
      </c>
      <c r="AF7" s="24" t="n">
        <f aca="false">Funnel!AF22*Assumptions!$B$45*Assumptions!$B$47</f>
        <v>992.722377884745</v>
      </c>
      <c r="AG7" s="24" t="n">
        <f aca="false">Funnel!AG22*Assumptions!$B$45*Assumptions!$B$47</f>
        <v>1093.84909459369</v>
      </c>
      <c r="AH7" s="24" t="n">
        <f aca="false">Funnel!AH22*Assumptions!$B$45*Assumptions!$B$47</f>
        <v>1204.9957590275</v>
      </c>
      <c r="AI7" s="24" t="n">
        <f aca="false">Funnel!AI22*Assumptions!$B$45*Assumptions!$B$47</f>
        <v>1327.16900215597</v>
      </c>
      <c r="AJ7" s="24" t="n">
        <f aca="false">Funnel!AJ22*Assumptions!$B$45*Assumptions!$B$47</f>
        <v>1461.475886236</v>
      </c>
      <c r="AK7" s="24" t="n">
        <f aca="false">Funnel!AK22*Assumptions!$B$45*Assumptions!$B$47</f>
        <v>1609.13395953082</v>
      </c>
      <c r="AL7" s="24" t="n">
        <f aca="false">Funnel!AL22*Assumptions!$B$45*Assumptions!$B$47</f>
        <v>1771.48231592155</v>
      </c>
    </row>
    <row r="8" customFormat="false" ht="15" hidden="false" customHeight="false" outlineLevel="0" collapsed="false">
      <c r="B8" s="3" t="s">
        <v>181</v>
      </c>
      <c r="C8" s="24" t="n">
        <f aca="false">Funnel!C27*Assumptions!$B$46*Assumptions!$B$47</f>
        <v>7.2</v>
      </c>
      <c r="D8" s="24" t="n">
        <f aca="false">Funnel!D27*Assumptions!$B$46*Assumptions!$B$47</f>
        <v>14.904</v>
      </c>
      <c r="E8" s="24" t="n">
        <f aca="false">Funnel!E27*Assumptions!$B$46*Assumptions!$B$47</f>
        <v>23.16888</v>
      </c>
      <c r="F8" s="24" t="n">
        <f aca="false">Funnel!F27*Assumptions!$B$46*Assumptions!$B$47</f>
        <v>32.0570136</v>
      </c>
      <c r="G8" s="24" t="n">
        <f aca="false">Funnel!G27*Assumptions!$B$46*Assumptions!$B$47</f>
        <v>41.636823192</v>
      </c>
      <c r="H8" s="24" t="n">
        <f aca="false">Funnel!H27*Assumptions!$B$46*Assumptions!$B$47</f>
        <v>51.98339049624</v>
      </c>
      <c r="I8" s="24" t="n">
        <f aca="false">Funnel!I27*Assumptions!$B$46*Assumptions!$B$47</f>
        <v>63.1791279813528</v>
      </c>
      <c r="J8" s="24" t="n">
        <f aca="false">Funnel!J27*Assumptions!$B$46*Assumptions!$B$47</f>
        <v>75.3145172619122</v>
      </c>
      <c r="K8" s="24" t="n">
        <f aca="false">Funnel!K27*Assumptions!$B$46*Assumptions!$B$47</f>
        <v>88.4889211760549</v>
      </c>
      <c r="L8" s="24" t="n">
        <f aca="false">Funnel!L27*Assumptions!$B$46*Assumptions!$B$47</f>
        <v>102.811476915973</v>
      </c>
      <c r="M8" s="24" t="n">
        <f aca="false">Funnel!M27*Assumptions!$B$46*Assumptions!$B$47</f>
        <v>118.402078321214</v>
      </c>
      <c r="N8" s="24" t="n">
        <f aca="false">Funnel!N27*Assumptions!$B$46*Assumptions!$B$47</f>
        <v>135.39245625557</v>
      </c>
      <c r="O8" s="24" t="n">
        <f aca="false">Funnel!O27*Assumptions!$B$46*Assumptions!$B$47</f>
        <v>153.927366880294</v>
      </c>
      <c r="P8" s="24" t="n">
        <f aca="false">Funnel!P27*Assumptions!$B$46*Assumptions!$B$47</f>
        <v>174.165898617515</v>
      </c>
      <c r="Q8" s="24" t="n">
        <f aca="false">Funnel!Q27*Assumptions!$B$46*Assumptions!$B$47</f>
        <v>196.282909676983</v>
      </c>
      <c r="R8" s="24" t="n">
        <f aca="false">Funnel!R27*Assumptions!$B$46*Assumptions!$B$47</f>
        <v>220.470609206466</v>
      </c>
      <c r="S8" s="24" t="n">
        <f aca="false">Funnel!S27*Assumptions!$B$46*Assumptions!$B$47</f>
        <v>246.940296432044</v>
      </c>
      <c r="T8" s="24" t="n">
        <f aca="false">Funnel!T27*Assumptions!$B$46*Assumptions!$B$47</f>
        <v>275.924273591032</v>
      </c>
      <c r="U8" s="24" t="n">
        <f aca="false">Funnel!U27*Assumptions!$B$46*Assumptions!$B$47</f>
        <v>307.677950040445</v>
      </c>
      <c r="V8" s="24" t="n">
        <f aca="false">Funnel!V27*Assumptions!$B$46*Assumptions!$B$47</f>
        <v>342.482156662091</v>
      </c>
      <c r="W8" s="24" t="n">
        <f aca="false">Funnel!W27*Assumptions!$B$46*Assumptions!$B$47</f>
        <v>380.645691597372</v>
      </c>
      <c r="X8" s="24" t="n">
        <f aca="false">Funnel!X27*Assumptions!$B$46*Assumptions!$B$47</f>
        <v>422.50812044811</v>
      </c>
      <c r="Y8" s="24" t="n">
        <f aca="false">Funnel!Y27*Assumptions!$B$46*Assumptions!$B$47</f>
        <v>468.442856393191</v>
      </c>
      <c r="Z8" s="24" t="n">
        <f aca="false">Funnel!Z27*Assumptions!$B$46*Assumptions!$B$47</f>
        <v>518.860548215773</v>
      </c>
      <c r="AA8" s="24" t="n">
        <f aca="false">Funnel!AA27*Assumptions!$B$46*Assumptions!$B$47</f>
        <v>574.212807035115</v>
      </c>
      <c r="AB8" s="24" t="n">
        <f aca="false">Funnel!AB27*Assumptions!$B$46*Assumptions!$B$47</f>
        <v>634.996305616458</v>
      </c>
      <c r="AC8" s="24" t="n">
        <f aca="false">Funnel!AC27*Assumptions!$B$46*Assumptions!$B$47</f>
        <v>701.7572875196</v>
      </c>
      <c r="AD8" s="24" t="n">
        <f aca="false">Funnel!AD27*Assumptions!$B$46*Assumptions!$B$47</f>
        <v>775.096527072812</v>
      </c>
      <c r="AE8" s="24" t="n">
        <f aca="false">Funnel!AE27*Assumptions!$B$46*Assumptions!$B$47</f>
        <v>855.674785257307</v>
      </c>
      <c r="AF8" s="24" t="n">
        <f aca="false">Funnel!AF27*Assumptions!$B$46*Assumptions!$B$47</f>
        <v>944.218811095935</v>
      </c>
      <c r="AG8" s="24" t="n">
        <f aca="false">Funnel!AG27*Assumptions!$B$46*Assumptions!$B$47</f>
        <v>1041.52794309904</v>
      </c>
      <c r="AH8" s="24" t="n">
        <f aca="false">Funnel!AH27*Assumptions!$B$46*Assumptions!$B$47</f>
        <v>1148.48137077565</v>
      </c>
      <c r="AI8" s="24" t="n">
        <f aca="false">Funnel!AI27*Assumptions!$B$46*Assumptions!$B$47</f>
        <v>1266.04612221892</v>
      </c>
      <c r="AJ8" s="24" t="n">
        <f aca="false">Funnel!AJ27*Assumptions!$B$46*Assumptions!$B$47</f>
        <v>1395.28585037554</v>
      </c>
      <c r="AK8" s="24" t="n">
        <f aca="false">Funnel!AK27*Assumptions!$B$46*Assumptions!$B$47</f>
        <v>1537.37049786979</v>
      </c>
      <c r="AL8" s="24" t="n">
        <f aca="false">Funnel!AL27*Assumptions!$B$46*Assumptions!$B$47</f>
        <v>1693.58692823976</v>
      </c>
    </row>
    <row r="9" customFormat="false" ht="15" hidden="false" customHeight="false" outlineLevel="0" collapsed="false">
      <c r="B9" s="3" t="s">
        <v>182</v>
      </c>
      <c r="C9" s="24" t="n">
        <f aca="false">Funnel!C31*Assumptions!$B$45*Assumptions!$B$47</f>
        <v>25.608</v>
      </c>
      <c r="D9" s="24" t="n">
        <f aca="false">Funnel!D31*Assumptions!$B$45*Assumptions!$B$47</f>
        <v>24.83976</v>
      </c>
      <c r="E9" s="24" t="n">
        <f aca="false">Funnel!E31*Assumptions!$B$45*Assumptions!$B$47</f>
        <v>24.0945672</v>
      </c>
      <c r="F9" s="24" t="n">
        <f aca="false">Funnel!F31*Assumptions!$B$45*Assumptions!$B$47</f>
        <v>23.371730184</v>
      </c>
      <c r="G9" s="24" t="n">
        <f aca="false">Funnel!G31*Assumptions!$B$45*Assumptions!$B$47</f>
        <v>22.67057827848</v>
      </c>
      <c r="H9" s="24" t="n">
        <f aca="false">Funnel!H31*Assumptions!$B$45*Assumptions!$B$47</f>
        <v>21.9904609301256</v>
      </c>
      <c r="I9" s="24" t="n">
        <f aca="false">Funnel!I31*Assumptions!$B$45*Assumptions!$B$47</f>
        <v>21.3307471022218</v>
      </c>
      <c r="J9" s="24" t="n">
        <f aca="false">Funnel!J31*Assumptions!$B$45*Assumptions!$B$47</f>
        <v>20.6908246891552</v>
      </c>
      <c r="K9" s="24" t="n">
        <f aca="false">Funnel!K31*Assumptions!$B$45*Assumptions!$B$47</f>
        <v>20.0700999484805</v>
      </c>
      <c r="L9" s="24" t="n">
        <f aca="false">Funnel!L31*Assumptions!$B$45*Assumptions!$B$47</f>
        <v>19.4679969500261</v>
      </c>
      <c r="M9" s="24" t="n">
        <f aca="false">Funnel!M31*Assumptions!$B$45*Assumptions!$B$47</f>
        <v>18.8839570415253</v>
      </c>
      <c r="N9" s="24" t="n">
        <f aca="false">Funnel!N31*Assumptions!$B$45*Assumptions!$B$47</f>
        <v>18.3174383302796</v>
      </c>
      <c r="O9" s="24" t="n">
        <f aca="false">Funnel!O31*Assumptions!$B$45*Assumptions!$B$47</f>
        <v>17.7679151803712</v>
      </c>
      <c r="P9" s="24" t="n">
        <f aca="false">Funnel!P31*Assumptions!$B$45*Assumptions!$B$47</f>
        <v>17.23487772496</v>
      </c>
      <c r="Q9" s="24" t="n">
        <f aca="false">Funnel!Q31*Assumptions!$B$45*Assumptions!$B$47</f>
        <v>16.7178313932112</v>
      </c>
      <c r="R9" s="24" t="n">
        <f aca="false">Funnel!R31*Assumptions!$B$45*Assumptions!$B$47</f>
        <v>16.2162964514149</v>
      </c>
      <c r="S9" s="24" t="n">
        <f aca="false">Funnel!S31*Assumptions!$B$45*Assumptions!$B$47</f>
        <v>15.7298075578725</v>
      </c>
      <c r="T9" s="24" t="n">
        <f aca="false">Funnel!T31*Assumptions!$B$45*Assumptions!$B$47</f>
        <v>15.2579133311363</v>
      </c>
      <c r="U9" s="24" t="n">
        <f aca="false">Funnel!U31*Assumptions!$B$45*Assumptions!$B$47</f>
        <v>14.8001759312022</v>
      </c>
      <c r="V9" s="24" t="n">
        <f aca="false">Funnel!V31*Assumptions!$B$45*Assumptions!$B$47</f>
        <v>14.3561706532661</v>
      </c>
      <c r="W9" s="24" t="n">
        <f aca="false">Funnel!W31*Assumptions!$B$45*Assumptions!$B$47</f>
        <v>13.9254855336681</v>
      </c>
      <c r="X9" s="24" t="n">
        <f aca="false">Funnel!X31*Assumptions!$B$45*Assumptions!$B$47</f>
        <v>13.5077209676581</v>
      </c>
      <c r="Y9" s="24" t="n">
        <f aca="false">Funnel!Y31*Assumptions!$B$45*Assumptions!$B$47</f>
        <v>13.1024893386284</v>
      </c>
      <c r="Z9" s="24" t="n">
        <f aca="false">Funnel!Z31*Assumptions!$B$45*Assumptions!$B$47</f>
        <v>12.7094146584695</v>
      </c>
      <c r="AA9" s="24" t="n">
        <f aca="false">Funnel!AA31*Assumptions!$B$45*Assumptions!$B$47</f>
        <v>12.3281322187154</v>
      </c>
      <c r="AB9" s="24" t="n">
        <f aca="false">Funnel!AB31*Assumptions!$B$45*Assumptions!$B$47</f>
        <v>11.958288252154</v>
      </c>
      <c r="AC9" s="24" t="n">
        <f aca="false">Funnel!AC31*Assumptions!$B$45*Assumptions!$B$47</f>
        <v>11.5995396045893</v>
      </c>
      <c r="AD9" s="24" t="n">
        <f aca="false">Funnel!AD31*Assumptions!$B$45*Assumptions!$B$47</f>
        <v>11.2515534164517</v>
      </c>
      <c r="AE9" s="24" t="n">
        <f aca="false">Funnel!AE31*Assumptions!$B$45*Assumptions!$B$47</f>
        <v>10.9140068139581</v>
      </c>
      <c r="AF9" s="24" t="n">
        <f aca="false">Funnel!AF31*Assumptions!$B$45*Assumptions!$B$47</f>
        <v>10.5865866095394</v>
      </c>
      <c r="AG9" s="24" t="n">
        <f aca="false">Funnel!AG31*Assumptions!$B$45*Assumptions!$B$47</f>
        <v>10.2689890112532</v>
      </c>
      <c r="AH9" s="24" t="n">
        <f aca="false">Funnel!AH31*Assumptions!$B$45*Assumptions!$B$47</f>
        <v>9.96091934091559</v>
      </c>
      <c r="AI9" s="24" t="n">
        <f aca="false">Funnel!AI31*Assumptions!$B$45*Assumptions!$B$47</f>
        <v>9.66209176068812</v>
      </c>
      <c r="AJ9" s="24" t="n">
        <f aca="false">Funnel!AJ31*Assumptions!$B$45*Assumptions!$B$47</f>
        <v>9.37222900786748</v>
      </c>
      <c r="AK9" s="24" t="n">
        <f aca="false">Funnel!AK31*Assumptions!$B$45*Assumptions!$B$47</f>
        <v>9.09106213763145</v>
      </c>
      <c r="AL9" s="24" t="n">
        <f aca="false">Funnel!AL31*Assumptions!$B$45*Assumptions!$B$47</f>
        <v>8.81833027350251</v>
      </c>
    </row>
    <row r="10" customFormat="false" ht="15" hidden="false" customHeight="false" outlineLevel="0" collapsed="false">
      <c r="B10" s="2" t="s">
        <v>183</v>
      </c>
      <c r="C10" s="27" t="n">
        <f aca="false">SUM(C6:C9)</f>
        <v>43.368</v>
      </c>
      <c r="D10" s="27" t="n">
        <f aca="false">SUM(D6:D9)</f>
        <v>61.33416</v>
      </c>
      <c r="E10" s="27" t="n">
        <f aca="false">SUM(E6:E9)</f>
        <v>80.4355752</v>
      </c>
      <c r="F10" s="27" t="n">
        <f aca="false">SUM(F6:F9)</f>
        <v>100.820885544</v>
      </c>
      <c r="G10" s="27" t="n">
        <f aca="false">SUM(G6:G9)</f>
        <v>122.65156588968</v>
      </c>
      <c r="H10" s="27" t="n">
        <f aca="false">SUM(H6:H9)</f>
        <v>146.10333611203</v>
      </c>
      <c r="I10" s="27" t="n">
        <f aca="false">SUM(I6:I9)</f>
        <v>171.367703775386</v>
      </c>
      <c r="J10" s="27" t="n">
        <f aca="false">SUM(J6:J9)</f>
        <v>198.653653224683</v>
      </c>
      <c r="K10" s="27" t="n">
        <f aca="false">SUM(K6:K9)</f>
        <v>228.189496288275</v>
      </c>
      <c r="L10" s="27" t="n">
        <f aca="false">SUM(L6:L9)</f>
        <v>260.224901263643</v>
      </c>
      <c r="M10" s="27" t="n">
        <f aca="false">SUM(M6:M9)</f>
        <v>295.033118487277</v>
      </c>
      <c r="N10" s="27" t="n">
        <f aca="false">SUM(N6:N9)</f>
        <v>332.91342258565</v>
      </c>
      <c r="O10" s="27" t="n">
        <f aca="false">SUM(O6:O9)</f>
        <v>374.193793482148</v>
      </c>
      <c r="P10" s="27" t="n">
        <f aca="false">SUM(P6:P9)</f>
        <v>419.233860412795</v>
      </c>
      <c r="Q10" s="27" t="n">
        <f aca="false">SUM(Q6:Q9)</f>
        <v>468.428135601686</v>
      </c>
      <c r="R10" s="27" t="n">
        <f aca="false">SUM(R6:R9)</f>
        <v>522.209566886917</v>
      </c>
      <c r="S10" s="27" t="n">
        <f aca="false">SUM(S6:S9)</f>
        <v>581.053441493557</v>
      </c>
      <c r="T10" s="27" t="n">
        <f aca="false">SUM(T6:T9)</f>
        <v>645.481676348252</v>
      </c>
      <c r="U10" s="27" t="n">
        <f aca="false">SUM(U6:U9)</f>
        <v>716.067533849541</v>
      </c>
      <c r="V10" s="27" t="n">
        <f aca="false">SUM(V6:V9)</f>
        <v>793.440805880849</v>
      </c>
      <c r="W10" s="27" t="n">
        <f aca="false">SUM(W6:W9)</f>
        <v>878.293513114685</v>
      </c>
      <c r="X10" s="27" t="n">
        <f aca="false">SUM(X6:X9)</f>
        <v>971.386171345539</v>
      </c>
      <c r="Y10" s="27" t="n">
        <f aca="false">SUM(Y6:Y9)</f>
        <v>1073.55468174804</v>
      </c>
      <c r="Z10" s="27" t="n">
        <f aca="false">SUM(Z6:Z9)</f>
        <v>1185.71790763294</v>
      </c>
      <c r="AA10" s="27" t="n">
        <f aca="false">SUM(AA6:AA9)</f>
        <v>1308.8860065181</v>
      </c>
      <c r="AB10" s="27" t="n">
        <f aca="false">SUM(AB6:AB9)</f>
        <v>1444.16959320174</v>
      </c>
      <c r="AC10" s="27" t="n">
        <f aca="false">SUM(AC6:AC9)</f>
        <v>1592.78981708303</v>
      </c>
      <c r="AD10" s="27" t="n">
        <f aca="false">SUM(AD6:AD9)</f>
        <v>1756.08944528947</v>
      </c>
      <c r="AE10" s="27" t="n">
        <f aca="false">SUM(AE6:AE9)</f>
        <v>1935.5450523174</v>
      </c>
      <c r="AF10" s="27" t="n">
        <f aca="false">SUM(AF6:AF9)</f>
        <v>2132.78042695352</v>
      </c>
      <c r="AG10" s="27" t="n">
        <f aca="false">SUM(AG6:AG9)</f>
        <v>2349.58131831448</v>
      </c>
      <c r="AH10" s="27" t="n">
        <f aca="false">SUM(AH6:AH9)</f>
        <v>2587.91165501761</v>
      </c>
      <c r="AI10" s="27" t="n">
        <f aca="false">SUM(AI6:AI9)</f>
        <v>2849.93138489031</v>
      </c>
      <c r="AJ10" s="27" t="n">
        <f aca="false">SUM(AJ6:AJ9)</f>
        <v>3138.01609735996</v>
      </c>
      <c r="AK10" s="27" t="n">
        <f aca="false">SUM(AK6:AK9)</f>
        <v>3454.77860687434</v>
      </c>
      <c r="AL10" s="27" t="n">
        <f aca="false">SUM(AL6:AL9)</f>
        <v>3803.09269353231</v>
      </c>
    </row>
    <row r="11" customFormat="false" ht="15" hidden="false" customHeight="false" outlineLevel="0" collapsed="false">
      <c r="B11" s="3" t="s">
        <v>184</v>
      </c>
      <c r="C11" s="28" t="n">
        <f aca="false">C10*Assumptions!$B$42</f>
        <v>130.104</v>
      </c>
      <c r="D11" s="28" t="n">
        <f aca="false">D10*Assumptions!$B$42</f>
        <v>184.00248</v>
      </c>
      <c r="E11" s="28" t="n">
        <f aca="false">E10*Assumptions!$B$42</f>
        <v>241.3067256</v>
      </c>
      <c r="F11" s="28" t="n">
        <f aca="false">F10*Assumptions!$B$42</f>
        <v>302.462656632</v>
      </c>
      <c r="G11" s="28" t="n">
        <f aca="false">G10*Assumptions!$B$42</f>
        <v>367.95469766904</v>
      </c>
      <c r="H11" s="28" t="n">
        <f aca="false">H10*Assumptions!$B$42</f>
        <v>438.310008336089</v>
      </c>
      <c r="I11" s="28" t="n">
        <f aca="false">I10*Assumptions!$B$42</f>
        <v>514.103111326157</v>
      </c>
      <c r="J11" s="28" t="n">
        <f aca="false">J10*Assumptions!$B$42</f>
        <v>595.96095967405</v>
      </c>
      <c r="K11" s="28" t="n">
        <f aca="false">K10*Assumptions!$B$42</f>
        <v>684.568488864824</v>
      </c>
      <c r="L11" s="28" t="n">
        <f aca="false">L10*Assumptions!$B$42</f>
        <v>780.67470379093</v>
      </c>
      <c r="M11" s="28" t="n">
        <f aca="false">M10*Assumptions!$B$42</f>
        <v>885.09935546183</v>
      </c>
      <c r="N11" s="28" t="n">
        <f aca="false">N10*Assumptions!$B$42</f>
        <v>998.740267756949</v>
      </c>
      <c r="O11" s="28" t="n">
        <f aca="false">O10*Assumptions!$B$42</f>
        <v>1122.58138044644</v>
      </c>
      <c r="P11" s="28" t="n">
        <f aca="false">P10*Assumptions!$B$42</f>
        <v>1257.70158123839</v>
      </c>
      <c r="Q11" s="28" t="n">
        <f aca="false">Q10*Assumptions!$B$42</f>
        <v>1405.28440680506</v>
      </c>
      <c r="R11" s="28" t="n">
        <f aca="false">R10*Assumptions!$B$42</f>
        <v>1566.62870066075</v>
      </c>
      <c r="S11" s="28" t="n">
        <f aca="false">S10*Assumptions!$B$42</f>
        <v>1743.16032448067</v>
      </c>
      <c r="T11" s="28" t="n">
        <f aca="false">T10*Assumptions!$B$42</f>
        <v>1936.44502904476</v>
      </c>
      <c r="U11" s="28" t="n">
        <f aca="false">U10*Assumptions!$B$42</f>
        <v>2148.20260154862</v>
      </c>
      <c r="V11" s="28" t="n">
        <f aca="false">V10*Assumptions!$B$42</f>
        <v>2380.32241764255</v>
      </c>
      <c r="W11" s="28" t="n">
        <f aca="false">W10*Assumptions!$B$42</f>
        <v>2634.88053934405</v>
      </c>
      <c r="X11" s="28" t="n">
        <f aca="false">X10*Assumptions!$B$42</f>
        <v>2914.15851403662</v>
      </c>
      <c r="Y11" s="28" t="n">
        <f aca="false">Y10*Assumptions!$B$42</f>
        <v>3220.66404524413</v>
      </c>
      <c r="Z11" s="28" t="n">
        <f aca="false">Z10*Assumptions!$B$42</f>
        <v>3557.15372289883</v>
      </c>
      <c r="AA11" s="28" t="n">
        <f aca="false">AA10*Assumptions!$B$42</f>
        <v>3926.6580195543</v>
      </c>
      <c r="AB11" s="28" t="n">
        <f aca="false">AB10*Assumptions!$B$42</f>
        <v>4332.50877960523</v>
      </c>
      <c r="AC11" s="28" t="n">
        <f aca="false">AC10*Assumptions!$B$42</f>
        <v>4778.36945124908</v>
      </c>
      <c r="AD11" s="28" t="n">
        <f aca="false">AD10*Assumptions!$B$42</f>
        <v>5268.26833586841</v>
      </c>
      <c r="AE11" s="28" t="n">
        <f aca="false">AE10*Assumptions!$B$42</f>
        <v>5806.6351569522</v>
      </c>
      <c r="AF11" s="28" t="n">
        <f aca="false">AF10*Assumptions!$B$42</f>
        <v>6398.34128086055</v>
      </c>
      <c r="AG11" s="28" t="n">
        <f aca="false">AG10*Assumptions!$B$42</f>
        <v>7048.74395494343</v>
      </c>
      <c r="AH11" s="28" t="n">
        <f aca="false">AH10*Assumptions!$B$42</f>
        <v>7763.73496505282</v>
      </c>
      <c r="AI11" s="28" t="n">
        <f aca="false">AI10*Assumptions!$B$42</f>
        <v>8549.79415467094</v>
      </c>
      <c r="AJ11" s="28" t="n">
        <f aca="false">AJ10*Assumptions!$B$42</f>
        <v>9414.04829207987</v>
      </c>
      <c r="AK11" s="28" t="n">
        <f aca="false">AK10*Assumptions!$B$42</f>
        <v>10364.335820623</v>
      </c>
      <c r="AL11" s="28" t="n">
        <f aca="false">AL10*Assumptions!$B$42</f>
        <v>11409.2780805969</v>
      </c>
    </row>
    <row r="12" customFormat="false" ht="15" hidden="false" customHeight="false" outlineLevel="0" collapsed="false">
      <c r="B12" s="3" t="s">
        <v>185</v>
      </c>
      <c r="C12" s="28" t="n">
        <f aca="false">Funnel!C38*Assumptions!$B$43</f>
        <v>28.005</v>
      </c>
      <c r="D12" s="28" t="n">
        <f aca="false">Funnel!D38*Assumptions!$B$43</f>
        <v>40.01685</v>
      </c>
      <c r="E12" s="28" t="n">
        <f aca="false">Funnel!E38*Assumptions!$B$43</f>
        <v>52.6301445</v>
      </c>
      <c r="F12" s="28" t="n">
        <f aca="false">Funnel!F38*Assumptions!$B$43</f>
        <v>65.945814165</v>
      </c>
      <c r="G12" s="28" t="n">
        <f aca="false">Funnel!G38*Assumptions!$B$43</f>
        <v>80.07198952005</v>
      </c>
      <c r="H12" s="28" t="n">
        <f aca="false">Funnel!H38*Assumptions!$B$43</f>
        <v>95.1249336070485</v>
      </c>
      <c r="I12" s="28" t="n">
        <f aca="false">Funnel!I38*Assumptions!$B$43</f>
        <v>111.230051841879</v>
      </c>
      <c r="J12" s="28" t="n">
        <f aca="false">Funnel!J38*Assumptions!$B$43</f>
        <v>128.522988029459</v>
      </c>
      <c r="K12" s="28" t="n">
        <f aca="false">Funnel!K38*Assumptions!$B$43</f>
        <v>147.15081629342</v>
      </c>
      <c r="L12" s="28" t="n">
        <f aca="false">Funnel!L38*Assumptions!$B$43</f>
        <v>167.273339563815</v>
      </c>
      <c r="M12" s="28" t="n">
        <f aca="false">Funnel!M38*Assumptions!$B$43</f>
        <v>189.064506248578</v>
      </c>
      <c r="N12" s="28" t="n">
        <f aca="false">Funnel!N38*Assumptions!$B$43</f>
        <v>212.713957801515</v>
      </c>
      <c r="O12" s="28" t="n">
        <f aca="false">Funnel!O38*Assumptions!$B$43</f>
        <v>238.428721101244</v>
      </c>
      <c r="P12" s="28" t="n">
        <f aca="false">Funnel!P38*Assumptions!$B$43</f>
        <v>266.435060882855</v>
      </c>
      <c r="Q12" s="28" t="n">
        <f aca="false">Funnel!Q38*Assumptions!$B$43</f>
        <v>296.980508929094</v>
      </c>
      <c r="R12" s="28" t="n">
        <f aca="false">Funnel!R38*Assumptions!$B$43</f>
        <v>330.336088344151</v>
      </c>
      <c r="S12" s="28" t="n">
        <f aca="false">Funnel!S38*Assumptions!$B$43</f>
        <v>366.798753015215</v>
      </c>
      <c r="T12" s="28" t="n">
        <f aca="false">Funnel!T38*Assumptions!$B$43</f>
        <v>406.694064331253</v>
      </c>
      <c r="U12" s="28" t="n">
        <f aca="false">Funnel!U38*Assumptions!$B$43</f>
        <v>450.379129392782</v>
      </c>
      <c r="V12" s="28" t="n">
        <f aca="false">Funnel!V38*Assumptions!$B$43</f>
        <v>498.245827330503</v>
      </c>
      <c r="W12" s="28" t="n">
        <f aca="false">Funnel!W38*Assumptions!$B$43</f>
        <v>550.724352976231</v>
      </c>
      <c r="X12" s="28" t="n">
        <f aca="false">Funnel!X38*Assumptions!$B$43</f>
        <v>608.287110020533</v>
      </c>
      <c r="Y12" s="28" t="n">
        <f aca="false">Funnel!Y38*Assumptions!$B$43</f>
        <v>671.452988974146</v>
      </c>
      <c r="Z12" s="28" t="n">
        <f aca="false">Funnel!Z38*Assumptions!$B$43</f>
        <v>740.792068753603</v>
      </c>
      <c r="AA12" s="28" t="n">
        <f aca="false">Funnel!AA38*Assumptions!$B$43</f>
        <v>816.930784567367</v>
      </c>
      <c r="AB12" s="28" t="n">
        <f aca="false">Funnel!AB38*Assumptions!$B$43</f>
        <v>900.5576090223</v>
      </c>
      <c r="AC12" s="28" t="n">
        <f aca="false">Funnel!AC38*Assumptions!$B$43</f>
        <v>992.429298040051</v>
      </c>
      <c r="AD12" s="28" t="n">
        <f aca="false">Funnel!AD38*Assumptions!$B$43</f>
        <v>1093.37775831138</v>
      </c>
      <c r="AE12" s="28" t="n">
        <f aca="false">Funnel!AE38*Assumptions!$B$43</f>
        <v>1204.31759867037</v>
      </c>
      <c r="AF12" s="28" t="n">
        <f aca="false">Funnel!AF38*Assumptions!$B$43</f>
        <v>1326.25443399115</v>
      </c>
      <c r="AG12" s="28" t="n">
        <f aca="false">Funnel!AG38*Assumptions!$B$43</f>
        <v>1460.29401705409</v>
      </c>
      <c r="AH12" s="28" t="n">
        <f aca="false">Funnel!AH38*Assumptions!$B$43</f>
        <v>1607.65228135803</v>
      </c>
      <c r="AI12" s="28" t="n">
        <f aca="false">Funnel!AI38*Assumptions!$B$43</f>
        <v>1769.66638613948</v>
      </c>
      <c r="AJ12" s="28" t="n">
        <f aca="false">Funnel!AJ38*Assumptions!$B$43</f>
        <v>1947.80686397266</v>
      </c>
      <c r="AK12" s="28" t="n">
        <f aca="false">Funnel!AK38*Assumptions!$B$43</f>
        <v>2143.69098135048</v>
      </c>
      <c r="AL12" s="28" t="n">
        <f aca="false">Funnel!AL38*Assumptions!$B$43</f>
        <v>2359.09743367559</v>
      </c>
    </row>
    <row r="13" customFormat="false" ht="15" hidden="false" customHeight="false" outlineLevel="0" collapsed="false">
      <c r="B13" s="3" t="s">
        <v>186</v>
      </c>
      <c r="C13" s="28" t="n">
        <f aca="false">Funnel!C39*Assumptions!$B$48</f>
        <v>5.601</v>
      </c>
      <c r="D13" s="28" t="n">
        <f aca="false">Funnel!D39*Assumptions!$B$48</f>
        <v>8.00337</v>
      </c>
      <c r="E13" s="28" t="n">
        <f aca="false">Funnel!E39*Assumptions!$B$48</f>
        <v>10.8260289</v>
      </c>
      <c r="F13" s="28" t="n">
        <f aca="false">Funnel!F39*Assumptions!$B$48</f>
        <v>13.486162833</v>
      </c>
      <c r="G13" s="28" t="n">
        <f aca="false">Funnel!G39*Assumptions!$B$48</f>
        <v>16.30842790401</v>
      </c>
      <c r="H13" s="28" t="n">
        <f aca="false">Funnel!H39*Assumptions!$B$48</f>
        <v>19.3160764214097</v>
      </c>
      <c r="I13" s="28" t="n">
        <f aca="false">Funnel!I39*Assumptions!$B$48</f>
        <v>22.5341891713758</v>
      </c>
      <c r="J13" s="28" t="n">
        <f aca="false">Funnel!J39*Assumptions!$B$48</f>
        <v>25.9898946208618</v>
      </c>
      <c r="K13" s="28" t="n">
        <f aca="false">Funnel!K39*Assumptions!$B$48</f>
        <v>29.7126073035043</v>
      </c>
      <c r="L13" s="28" t="n">
        <f aca="false">Funnel!L39*Assumptions!$B$48</f>
        <v>33.734287517135</v>
      </c>
      <c r="M13" s="28" t="n">
        <f aca="false">Funnel!M39*Assumptions!$B$48</f>
        <v>38.089724658044</v>
      </c>
      <c r="N13" s="28" t="n">
        <f aca="false">Funnel!N39*Assumptions!$B$48</f>
        <v>42.816846734548</v>
      </c>
      <c r="O13" s="28" t="n">
        <f aca="false">Funnel!O39*Assumptions!$B$48</f>
        <v>47.9570588427515</v>
      </c>
      <c r="P13" s="28" t="n">
        <f aca="false">Funnel!P39*Assumptions!$B$48</f>
        <v>53.5556136528486</v>
      </c>
      <c r="Q13" s="28" t="n">
        <f aca="false">Funnel!Q39*Assumptions!$B$48</f>
        <v>59.6620172473336</v>
      </c>
      <c r="R13" s="28" t="n">
        <f aca="false">Funnel!R39*Assumptions!$B$48</f>
        <v>66.3304739757298</v>
      </c>
      <c r="S13" s="28" t="n">
        <f aca="false">Funnel!S39*Assumptions!$B$48</f>
        <v>73.6203743468736</v>
      </c>
      <c r="T13" s="28" t="n">
        <f aca="false">Funnel!T39*Assumptions!$B$48</f>
        <v>81.5968303726429</v>
      </c>
      <c r="U13" s="28" t="n">
        <f aca="false">Funnel!U39*Assumptions!$B$48</f>
        <v>90.3312632098848</v>
      </c>
      <c r="V13" s="28" t="n">
        <f aca="false">Funnel!V39*Assumptions!$B$48</f>
        <v>99.9020484241158</v>
      </c>
      <c r="W13" s="28" t="n">
        <f aca="false">Funnel!W39*Assumptions!$B$48</f>
        <v>110.395224723681</v>
      </c>
      <c r="X13" s="28" t="n">
        <f aca="false">Funnel!X39*Assumptions!$B$48</f>
        <v>121.905272591257</v>
      </c>
      <c r="Y13" s="28" t="n">
        <f aca="false">Funnel!Y39*Assumptions!$B$48</f>
        <v>134.535969876108</v>
      </c>
      <c r="Z13" s="28" t="n">
        <f aca="false">Funnel!Z39*Assumptions!$B$48</f>
        <v>148.401332111187</v>
      </c>
      <c r="AA13" s="28" t="n">
        <f aca="false">Funnel!AA39*Assumptions!$B$48</f>
        <v>163.626646090335</v>
      </c>
      <c r="AB13" s="28" t="n">
        <f aca="false">Funnel!AB39*Assumptions!$B$48</f>
        <v>180.349606089553</v>
      </c>
      <c r="AC13" s="28" t="n">
        <f aca="false">Funnel!AC39*Assumptions!$B$48</f>
        <v>198.721563050252</v>
      </c>
      <c r="AD13" s="28" t="n">
        <f aca="false">Funnel!AD39*Assumptions!$B$48</f>
        <v>218.908898070096</v>
      </c>
      <c r="AE13" s="28" t="n">
        <f aca="false">Funnel!AE39*Assumptions!$B$48</f>
        <v>241.094532677816</v>
      </c>
      <c r="AF13" s="28" t="n">
        <f aca="false">Funnel!AF39*Assumptions!$B$48</f>
        <v>265.479589612535</v>
      </c>
      <c r="AG13" s="28" t="n">
        <f aca="false">Funnel!AG39*Assumptions!$B$48</f>
        <v>292.285219196978</v>
      </c>
      <c r="AH13" s="28" t="n">
        <f aca="false">Funnel!AH39*Assumptions!$B$48</f>
        <v>321.754607899906</v>
      </c>
      <c r="AI13" s="28" t="n">
        <f aca="false">Funnel!AI39*Assumptions!$B$48</f>
        <v>354.155187339913</v>
      </c>
      <c r="AJ13" s="28" t="n">
        <f aca="false">Funnel!AJ39*Assumptions!$B$48</f>
        <v>389.781063805429</v>
      </c>
      <c r="AK13" s="28" t="n">
        <f aca="false">Funnel!AK39*Assumptions!$B$48</f>
        <v>428.955690370884</v>
      </c>
      <c r="AL13" s="28" t="n">
        <f aca="false">Funnel!AL39*Assumptions!$B$48</f>
        <v>472.034805894898</v>
      </c>
    </row>
    <row r="14" customFormat="false" ht="15" hidden="false" customHeight="false" outlineLevel="0" collapsed="false">
      <c r="B14" s="3" t="s">
        <v>187</v>
      </c>
      <c r="C14" s="28" t="n">
        <f aca="false">Funnel!C36*Assumptions!$B$50</f>
        <v>0</v>
      </c>
      <c r="D14" s="28" t="n">
        <f aca="false">Funnel!D36*Assumptions!$B$50</f>
        <v>0</v>
      </c>
      <c r="E14" s="28" t="n">
        <f aca="false">Funnel!E36*Assumptions!$B$50</f>
        <v>60</v>
      </c>
      <c r="F14" s="28" t="n">
        <f aca="false">Funnel!F36*Assumptions!$B$50</f>
        <v>59.4</v>
      </c>
      <c r="G14" s="28" t="n">
        <f aca="false">Funnel!G36*Assumptions!$B$50</f>
        <v>58.806</v>
      </c>
      <c r="H14" s="28" t="n">
        <f aca="false">Funnel!H36*Assumptions!$B$50</f>
        <v>58.21794</v>
      </c>
      <c r="I14" s="28" t="n">
        <f aca="false">Funnel!I36*Assumptions!$B$50</f>
        <v>57.6357606</v>
      </c>
      <c r="J14" s="28" t="n">
        <f aca="false">Funnel!J36*Assumptions!$B$50</f>
        <v>57.059402994</v>
      </c>
      <c r="K14" s="28" t="n">
        <f aca="false">Funnel!K36*Assumptions!$B$50</f>
        <v>56.48880896406</v>
      </c>
      <c r="L14" s="28" t="n">
        <f aca="false">Funnel!L36*Assumptions!$B$50</f>
        <v>55.9239208744194</v>
      </c>
      <c r="M14" s="28" t="n">
        <f aca="false">Funnel!M36*Assumptions!$B$50</f>
        <v>55.3646816656752</v>
      </c>
      <c r="N14" s="28" t="n">
        <f aca="false">Funnel!N36*Assumptions!$B$50</f>
        <v>54.8110348490185</v>
      </c>
      <c r="O14" s="28" t="n">
        <f aca="false">Funnel!O36*Assumptions!$B$50</f>
        <v>54.2629245005283</v>
      </c>
      <c r="P14" s="28" t="n">
        <f aca="false">Funnel!P36*Assumptions!$B$50</f>
        <v>53.720295255523</v>
      </c>
      <c r="Q14" s="28" t="n">
        <f aca="false">Funnel!Q36*Assumptions!$B$50</f>
        <v>53.1830923029678</v>
      </c>
      <c r="R14" s="28" t="n">
        <f aca="false">Funnel!R36*Assumptions!$B$50</f>
        <v>52.6512613799381</v>
      </c>
      <c r="S14" s="28" t="n">
        <f aca="false">Funnel!S36*Assumptions!$B$50</f>
        <v>52.1247487661387</v>
      </c>
      <c r="T14" s="28" t="n">
        <f aca="false">Funnel!T36*Assumptions!$B$50</f>
        <v>51.6035012784773</v>
      </c>
      <c r="U14" s="28" t="n">
        <f aca="false">Funnel!U36*Assumptions!$B$50</f>
        <v>51.0874662656925</v>
      </c>
      <c r="V14" s="28" t="n">
        <f aca="false">Funnel!V36*Assumptions!$B$50</f>
        <v>50.5765916030356</v>
      </c>
      <c r="W14" s="28" t="n">
        <f aca="false">Funnel!W36*Assumptions!$B$50</f>
        <v>50.0708256870053</v>
      </c>
      <c r="X14" s="28" t="n">
        <f aca="false">Funnel!X36*Assumptions!$B$50</f>
        <v>49.5701174301352</v>
      </c>
      <c r="Y14" s="28" t="n">
        <f aca="false">Funnel!Y36*Assumptions!$B$50</f>
        <v>49.0744162558339</v>
      </c>
      <c r="Z14" s="28" t="n">
        <f aca="false">Funnel!Z36*Assumptions!$B$50</f>
        <v>48.5836720932755</v>
      </c>
      <c r="AA14" s="28" t="n">
        <f aca="false">Funnel!AA36*Assumptions!$B$50</f>
        <v>48.0978353723428</v>
      </c>
      <c r="AB14" s="28" t="n">
        <f aca="false">Funnel!AB36*Assumptions!$B$50</f>
        <v>47.6168570186193</v>
      </c>
      <c r="AC14" s="28" t="n">
        <f aca="false">Funnel!AC36*Assumptions!$B$50</f>
        <v>47.1406884484331</v>
      </c>
      <c r="AD14" s="28" t="n">
        <f aca="false">Funnel!AD36*Assumptions!$B$50</f>
        <v>46.6692815639488</v>
      </c>
      <c r="AE14" s="28" t="n">
        <f aca="false">Funnel!AE36*Assumptions!$B$50</f>
        <v>46.2025887483093</v>
      </c>
      <c r="AF14" s="28" t="n">
        <f aca="false">Funnel!AF36*Assumptions!$B$50</f>
        <v>45.7405628608262</v>
      </c>
      <c r="AG14" s="28" t="n">
        <f aca="false">Funnel!AG36*Assumptions!$B$50</f>
        <v>45.283157232218</v>
      </c>
      <c r="AH14" s="28" t="n">
        <f aca="false">Funnel!AH36*Assumptions!$B$50</f>
        <v>44.8303256598958</v>
      </c>
      <c r="AI14" s="28" t="n">
        <f aca="false">Funnel!AI36*Assumptions!$B$50</f>
        <v>44.3820224032968</v>
      </c>
      <c r="AJ14" s="28" t="n">
        <f aca="false">Funnel!AJ36*Assumptions!$B$50</f>
        <v>43.9382021792639</v>
      </c>
      <c r="AK14" s="28" t="n">
        <f aca="false">Funnel!AK36*Assumptions!$B$50</f>
        <v>43.4988201574712</v>
      </c>
      <c r="AL14" s="28" t="n">
        <f aca="false">Funnel!AL36*Assumptions!$B$50</f>
        <v>43.0638319558965</v>
      </c>
    </row>
    <row r="15" customFormat="false" ht="15" hidden="false" customHeight="false" outlineLevel="0" collapsed="false">
      <c r="B15" s="3" t="s">
        <v>115</v>
      </c>
      <c r="C15" s="28" t="n">
        <f aca="false">Revenue!C14*Assumptions!$B$49</f>
        <v>14.9864</v>
      </c>
      <c r="D15" s="28" t="n">
        <f aca="false">Revenue!D14*Assumptions!$B$49</f>
        <v>19.9829776</v>
      </c>
      <c r="E15" s="28" t="n">
        <f aca="false">Revenue!E14*Assumptions!$B$49</f>
        <v>41.296489232</v>
      </c>
      <c r="F15" s="28" t="n">
        <f aca="false">Revenue!F14*Assumptions!$B$49</f>
        <v>46.80924283664</v>
      </c>
      <c r="G15" s="28" t="n">
        <f aca="false">Revenue!G14*Assumptions!$B$49</f>
        <v>52.7287025875728</v>
      </c>
      <c r="H15" s="28" t="n">
        <f aca="false">Revenue!H14*Assumptions!$B$49</f>
        <v>59.1046745165351</v>
      </c>
      <c r="I15" s="28" t="n">
        <f aca="false">Revenue!I14*Assumptions!$B$49</f>
        <v>65.9913611559301</v>
      </c>
      <c r="J15" s="28" t="n">
        <f aca="false">Revenue!J14*Assumptions!$B$49</f>
        <v>73.4478408094062</v>
      </c>
      <c r="K15" s="28" t="n">
        <f aca="false">Revenue!K14*Assumptions!$B$49</f>
        <v>81.5385919185149</v>
      </c>
      <c r="L15" s="28" t="n">
        <f aca="false">Revenue!L14*Assumptions!$B$49</f>
        <v>90.3340672452015</v>
      </c>
      <c r="M15" s="28" t="n">
        <f aca="false">Revenue!M14*Assumptions!$B$49</f>
        <v>99.9113230458445</v>
      </c>
      <c r="N15" s="28" t="n">
        <f aca="false">Revenue!N14*Assumptions!$B$49</f>
        <v>110.354708915355</v>
      </c>
      <c r="O15" s="28" t="n">
        <f aca="false">Revenue!O14*Assumptions!$B$49</f>
        <v>121.756624534078</v>
      </c>
      <c r="P15" s="28" t="n">
        <f aca="false">Revenue!P14*Assumptions!$B$49</f>
        <v>134.218350160928</v>
      </c>
      <c r="Q15" s="28" t="n">
        <f aca="false">Revenue!Q14*Assumptions!$B$49</f>
        <v>147.850958388943</v>
      </c>
      <c r="R15" s="28" t="n">
        <f aca="false">Revenue!R14*Assumptions!$B$49</f>
        <v>162.77631542036</v>
      </c>
      <c r="S15" s="28" t="n">
        <f aca="false">Revenue!S14*Assumptions!$B$49</f>
        <v>179.128180934116</v>
      </c>
      <c r="T15" s="28" t="n">
        <f aca="false">Revenue!T14*Assumptions!$B$49</f>
        <v>197.053416516895</v>
      </c>
      <c r="U15" s="28" t="n">
        <f aca="false">Revenue!U14*Assumptions!$B$49</f>
        <v>216.713313617507</v>
      </c>
      <c r="V15" s="28" t="n">
        <f aca="false">Revenue!V14*Assumptions!$B$49</f>
        <v>238.285053072601</v>
      </c>
      <c r="W15" s="28" t="n">
        <f aca="false">Revenue!W14*Assumptions!$B$49</f>
        <v>261.963309449343</v>
      </c>
      <c r="X15" s="28" t="n">
        <f aca="false">Revenue!X14*Assumptions!$B$49</f>
        <v>287.962014768645</v>
      </c>
      <c r="Y15" s="28" t="n">
        <f aca="false">Revenue!Y14*Assumptions!$B$49</f>
        <v>316.516297622753</v>
      </c>
      <c r="Z15" s="28" t="n">
        <f aca="false">Revenue!Z14*Assumptions!$B$49</f>
        <v>347.884615296737</v>
      </c>
      <c r="AA15" s="28" t="n">
        <f aca="false">Revenue!AA14*Assumptions!$B$49</f>
        <v>382.351098259199</v>
      </c>
      <c r="AB15" s="28" t="n">
        <f aca="false">Revenue!AB14*Assumptions!$B$49</f>
        <v>420.228128319174</v>
      </c>
      <c r="AC15" s="28" t="n">
        <f aca="false">Revenue!AC14*Assumptions!$B$49</f>
        <v>461.859173871498</v>
      </c>
      <c r="AD15" s="28" t="n">
        <f aca="false">Revenue!AD14*Assumptions!$B$49</f>
        <v>507.621907990995</v>
      </c>
      <c r="AE15" s="28" t="n">
        <f aca="false">Revenue!AE14*Assumptions!$B$49</f>
        <v>557.931637708097</v>
      </c>
      <c r="AF15" s="28" t="n">
        <f aca="false">Revenue!AF14*Assumptions!$B$49</f>
        <v>613.245075628239</v>
      </c>
      <c r="AG15" s="28" t="n">
        <f aca="false">Revenue!AG14*Assumptions!$B$49</f>
        <v>674.064488170383</v>
      </c>
      <c r="AH15" s="28" t="n">
        <f aca="false">Revenue!AH14*Assumptions!$B$49</f>
        <v>740.942258124526</v>
      </c>
      <c r="AI15" s="28" t="n">
        <f aca="false">Revenue!AI14*Assumptions!$B$49</f>
        <v>814.485902995314</v>
      </c>
      <c r="AJ15" s="28" t="n">
        <f aca="false">Revenue!AJ14*Assumptions!$B$49</f>
        <v>895.363594742962</v>
      </c>
      <c r="AK15" s="28" t="n">
        <f aca="false">Revenue!AK14*Assumptions!$B$49</f>
        <v>984.310231091493</v>
      </c>
      <c r="AL15" s="28" t="n">
        <f aca="false">Revenue!AL14*Assumptions!$B$49</f>
        <v>1082.13411358907</v>
      </c>
    </row>
    <row r="16" customFormat="false" ht="15" hidden="false" customHeight="false" outlineLevel="0" collapsed="false">
      <c r="B16" s="2" t="s">
        <v>188</v>
      </c>
      <c r="C16" s="29" t="n">
        <f aca="false">SUM(C11:C15)</f>
        <v>178.6964</v>
      </c>
      <c r="D16" s="29" t="n">
        <f aca="false">SUM(D11:D15)</f>
        <v>252.0056776</v>
      </c>
      <c r="E16" s="29" t="n">
        <f aca="false">SUM(E11:E15)</f>
        <v>406.059388232</v>
      </c>
      <c r="F16" s="29" t="n">
        <f aca="false">SUM(F11:F15)</f>
        <v>488.10387646664</v>
      </c>
      <c r="G16" s="29" t="n">
        <f aca="false">SUM(G11:G15)</f>
        <v>575.869817680673</v>
      </c>
      <c r="H16" s="29" t="n">
        <f aca="false">SUM(H11:H15)</f>
        <v>670.073632881082</v>
      </c>
      <c r="I16" s="29" t="n">
        <f aca="false">SUM(I11:I15)</f>
        <v>771.494474095342</v>
      </c>
      <c r="J16" s="29" t="n">
        <f aca="false">SUM(J11:J15)</f>
        <v>880.981086127777</v>
      </c>
      <c r="K16" s="29" t="n">
        <f aca="false">SUM(K11:K15)</f>
        <v>999.459313344323</v>
      </c>
      <c r="L16" s="29" t="n">
        <f aca="false">SUM(L11:L15)</f>
        <v>1127.9403189915</v>
      </c>
      <c r="M16" s="29" t="n">
        <f aca="false">SUM(M11:M15)</f>
        <v>1267.52959107997</v>
      </c>
      <c r="N16" s="29" t="n">
        <f aca="false">SUM(N11:N15)</f>
        <v>1419.43681605739</v>
      </c>
      <c r="O16" s="29" t="n">
        <f aca="false">SUM(O11:O15)</f>
        <v>1584.98670942505</v>
      </c>
      <c r="P16" s="29" t="n">
        <f aca="false">SUM(P11:P15)</f>
        <v>1765.63090119054</v>
      </c>
      <c r="Q16" s="29" t="n">
        <f aca="false">SUM(Q11:Q15)</f>
        <v>1962.9609836734</v>
      </c>
      <c r="R16" s="29" t="n">
        <f aca="false">SUM(R11:R15)</f>
        <v>2178.72283978093</v>
      </c>
      <c r="S16" s="29" t="n">
        <f aca="false">SUM(S11:S15)</f>
        <v>2414.83238154301</v>
      </c>
      <c r="T16" s="29" t="n">
        <f aca="false">SUM(T11:T15)</f>
        <v>2673.39284154402</v>
      </c>
      <c r="U16" s="29" t="n">
        <f aca="false">SUM(U11:U15)</f>
        <v>2956.71377403449</v>
      </c>
      <c r="V16" s="29" t="n">
        <f aca="false">SUM(V11:V15)</f>
        <v>3267.3319380728</v>
      </c>
      <c r="W16" s="29" t="n">
        <f aca="false">SUM(W11:W15)</f>
        <v>3608.03425218031</v>
      </c>
      <c r="X16" s="29" t="n">
        <f aca="false">SUM(X11:X15)</f>
        <v>3981.88302884719</v>
      </c>
      <c r="Y16" s="29" t="n">
        <f aca="false">SUM(Y11:Y15)</f>
        <v>4392.24371797297</v>
      </c>
      <c r="Z16" s="29" t="n">
        <f aca="false">SUM(Z11:Z15)</f>
        <v>4842.81541115363</v>
      </c>
      <c r="AA16" s="29" t="n">
        <f aca="false">SUM(AA11:AA15)</f>
        <v>5337.66438384355</v>
      </c>
      <c r="AB16" s="29" t="n">
        <f aca="false">SUM(AB11:AB15)</f>
        <v>5881.26098005488</v>
      </c>
      <c r="AC16" s="29" t="n">
        <f aca="false">SUM(AC11:AC15)</f>
        <v>6478.52017465931</v>
      </c>
      <c r="AD16" s="29" t="n">
        <f aca="false">SUM(AD11:AD15)</f>
        <v>7134.84618180483</v>
      </c>
      <c r="AE16" s="29" t="n">
        <f aca="false">SUM(AE11:AE15)</f>
        <v>7856.18151475679</v>
      </c>
      <c r="AF16" s="29" t="n">
        <f aca="false">SUM(AF11:AF15)</f>
        <v>8649.06094295331</v>
      </c>
      <c r="AG16" s="29" t="n">
        <f aca="false">SUM(AG11:AG15)</f>
        <v>9520.67083659709</v>
      </c>
      <c r="AH16" s="29" t="n">
        <f aca="false">SUM(AH11:AH15)</f>
        <v>10478.9144380952</v>
      </c>
      <c r="AI16" s="29" t="n">
        <f aca="false">SUM(AI11:AI15)</f>
        <v>11532.4836535489</v>
      </c>
      <c r="AJ16" s="29" t="n">
        <f aca="false">SUM(AJ11:AJ15)</f>
        <v>12690.9380167802</v>
      </c>
      <c r="AK16" s="29" t="n">
        <f aca="false">SUM(AK11:AK15)</f>
        <v>13964.7915435934</v>
      </c>
      <c r="AL16" s="29" t="n">
        <f aca="false">SUM(AL11:AL15)</f>
        <v>15365.6082657124</v>
      </c>
    </row>
    <row r="17" customFormat="false" ht="15" hidden="false" customHeight="false" outlineLevel="0" collapsed="false">
      <c r="B17" s="2" t="s">
        <v>189</v>
      </c>
      <c r="C17" s="29" t="n">
        <f aca="false">Revenue!C14-C16</f>
        <v>289.6286</v>
      </c>
      <c r="D17" s="29" t="n">
        <f aca="false">Revenue!D14-D16</f>
        <v>372.4623724</v>
      </c>
      <c r="E17" s="29" t="n">
        <f aca="false">Revenue!E14-E16</f>
        <v>884.455900268</v>
      </c>
      <c r="F17" s="29" t="n">
        <f aca="false">Revenue!F14-F16</f>
        <v>974.68496217836</v>
      </c>
      <c r="G17" s="29" t="n">
        <f aca="false">Revenue!G14-G16</f>
        <v>1071.90213818098</v>
      </c>
      <c r="H17" s="29" t="n">
        <f aca="false">Revenue!H14-H16</f>
        <v>1176.94744576064</v>
      </c>
      <c r="I17" s="29" t="n">
        <f aca="false">Revenue!I14-I16</f>
        <v>1290.73556202747</v>
      </c>
      <c r="J17" s="29" t="n">
        <f aca="false">Revenue!J14-J16</f>
        <v>1414.26393916617</v>
      </c>
      <c r="K17" s="29" t="n">
        <f aca="false">Revenue!K14-K16</f>
        <v>1548.62168410927</v>
      </c>
      <c r="L17" s="29" t="n">
        <f aca="false">Revenue!L14-L16</f>
        <v>1694.99928242105</v>
      </c>
      <c r="M17" s="29" t="n">
        <f aca="false">Revenue!M14-M16</f>
        <v>1854.69925410267</v>
      </c>
      <c r="N17" s="29" t="n">
        <f aca="false">Revenue!N14-N16</f>
        <v>2029.14783754747</v>
      </c>
      <c r="O17" s="29" t="n">
        <f aca="false">Revenue!O14-O16</f>
        <v>2219.90780726491</v>
      </c>
      <c r="P17" s="29" t="n">
        <f aca="false">Revenue!P14-P16</f>
        <v>2428.69254133846</v>
      </c>
      <c r="Q17" s="29" t="n">
        <f aca="false">Revenue!Q14-Q16</f>
        <v>2657.38146598109</v>
      </c>
      <c r="R17" s="29" t="n">
        <f aca="false">Revenue!R14-R16</f>
        <v>2908.03701710533</v>
      </c>
      <c r="S17" s="29" t="n">
        <f aca="false">Revenue!S14-S16</f>
        <v>3182.9232726481</v>
      </c>
      <c r="T17" s="29" t="n">
        <f aca="false">Revenue!T14-T16</f>
        <v>3484.52642460894</v>
      </c>
      <c r="U17" s="29" t="n">
        <f aca="false">Revenue!U14-U16</f>
        <v>3815.57727651262</v>
      </c>
      <c r="V17" s="29" t="n">
        <f aca="false">Revenue!V14-V16</f>
        <v>4179.07597044597</v>
      </c>
      <c r="W17" s="29" t="n">
        <f aca="false">Revenue!W14-W16</f>
        <v>4578.31916811164</v>
      </c>
      <c r="X17" s="29" t="n">
        <f aca="false">Revenue!X14-X16</f>
        <v>5016.92993267297</v>
      </c>
      <c r="Y17" s="29" t="n">
        <f aca="false">Revenue!Y14-Y16</f>
        <v>5498.89058273805</v>
      </c>
      <c r="Z17" s="29" t="n">
        <f aca="false">Revenue!Z14-Z16</f>
        <v>6028.5788168694</v>
      </c>
      <c r="AA17" s="29" t="n">
        <f aca="false">Revenue!AA14-AA16</f>
        <v>6610.80743675642</v>
      </c>
      <c r="AB17" s="29" t="n">
        <f aca="false">Revenue!AB14-AB16</f>
        <v>7250.86802991931</v>
      </c>
      <c r="AC17" s="29" t="n">
        <f aca="false">Revenue!AC14-AC16</f>
        <v>7954.57900882499</v>
      </c>
      <c r="AD17" s="29" t="n">
        <f aca="false">Revenue!AD14-AD16</f>
        <v>8728.33844291375</v>
      </c>
      <c r="AE17" s="29" t="n">
        <f aca="false">Revenue!AE14-AE16</f>
        <v>9579.18216362122</v>
      </c>
      <c r="AF17" s="29" t="n">
        <f aca="false">Revenue!AF14-AF16</f>
        <v>10514.8476704292</v>
      </c>
      <c r="AG17" s="29" t="n">
        <f aca="false">Revenue!AG14-AG16</f>
        <v>11543.8444187274</v>
      </c>
      <c r="AH17" s="29" t="n">
        <f aca="false">Revenue!AH14-AH16</f>
        <v>12675.5311282963</v>
      </c>
      <c r="AI17" s="29" t="n">
        <f aca="false">Revenue!AI14-AI16</f>
        <v>13920.2008150546</v>
      </c>
      <c r="AJ17" s="29" t="n">
        <f aca="false">Revenue!AJ14-AJ16</f>
        <v>15289.1743189374</v>
      </c>
      <c r="AK17" s="29" t="n">
        <f aca="false">Revenue!AK14-AK16</f>
        <v>16794.9031780158</v>
      </c>
      <c r="AL17" s="29" t="n">
        <f aca="false">Revenue!AL14-AL16</f>
        <v>18451.082783946</v>
      </c>
    </row>
    <row r="18" customFormat="false" ht="15" hidden="false" customHeight="false" outlineLevel="0" collapsed="false">
      <c r="B18" s="2" t="s">
        <v>190</v>
      </c>
      <c r="C18" s="30" t="n">
        <f aca="false">IF(Revenue!C14=0,0,C17/Revenue!C14)</f>
        <v>0.618435061122084</v>
      </c>
      <c r="D18" s="30" t="n">
        <f aca="false">IF(Revenue!D14=0,0,D17/Revenue!D14)</f>
        <v>0.596447444188698</v>
      </c>
      <c r="E18" s="30" t="n">
        <f aca="false">IF(Revenue!E14=0,0,E17/Revenue!E14)</f>
        <v>0.68535096650891</v>
      </c>
      <c r="F18" s="30" t="n">
        <f aca="false">IF(Revenue!F14=0,0,F17/Revenue!F14)</f>
        <v>0.66631966038326</v>
      </c>
      <c r="G18" s="30" t="n">
        <f aca="false">IF(Revenue!G14=0,0,G17/Revenue!G14)</f>
        <v>0.650516070726826</v>
      </c>
      <c r="H18" s="30" t="n">
        <f aca="false">IF(Revenue!H14=0,0,H17/Revenue!H14)</f>
        <v>0.637213867979327</v>
      </c>
      <c r="I18" s="30" t="n">
        <f aca="false">IF(Revenue!I14=0,0,I17/Revenue!I14)</f>
        <v>0.625893105724605</v>
      </c>
      <c r="J18" s="30" t="n">
        <f aca="false">IF(Revenue!J14=0,0,J17/Revenue!J14)</f>
        <v>0.616171225111379</v>
      </c>
      <c r="K18" s="30" t="n">
        <f aca="false">IF(Revenue!K14=0,0,K17/Revenue!K14)</f>
        <v>0.607759991011617</v>
      </c>
      <c r="L18" s="30" t="n">
        <f aca="false">IF(Revenue!L14=0,0,L17/Revenue!L14)</f>
        <v>0.600437671983099</v>
      </c>
      <c r="M18" s="30" t="n">
        <f aca="false">IF(Revenue!M14=0,0,M17/Revenue!M14)</f>
        <v>0.594030529493162</v>
      </c>
      <c r="N18" s="30" t="n">
        <f aca="false">IF(Revenue!N14=0,0,N17/Revenue!N14)</f>
        <v>0.588400181919958</v>
      </c>
      <c r="O18" s="30" t="n">
        <f aca="false">IF(Revenue!O14=0,0,O17/Revenue!O14)</f>
        <v>0.583434783152965</v>
      </c>
      <c r="P18" s="30" t="n">
        <f aca="false">IF(Revenue!P14=0,0,P17/Revenue!P14)</f>
        <v>0.579042740650935</v>
      </c>
      <c r="Q18" s="30" t="n">
        <f aca="false">IF(Revenue!Q14=0,0,Q17/Revenue!Q14)</f>
        <v>0.575148161621615</v>
      </c>
      <c r="R18" s="30" t="n">
        <f aca="false">IF(Revenue!R14=0,0,R17/Revenue!R14)</f>
        <v>0.571687498313596</v>
      </c>
      <c r="S18" s="30" t="n">
        <f aca="false">IF(Revenue!S14=0,0,S17/Revenue!S14)</f>
        <v>0.568607039906253</v>
      </c>
      <c r="T18" s="30" t="n">
        <f aca="false">IF(Revenue!T14=0,0,T17/Revenue!T14)</f>
        <v>0.565861011488354</v>
      </c>
      <c r="U18" s="30" t="n">
        <f aca="false">IF(Revenue!U14=0,0,U17/Revenue!U14)</f>
        <v>0.563410114543788</v>
      </c>
      <c r="V18" s="30" t="n">
        <f aca="false">IF(Revenue!V14=0,0,V17/Revenue!V14)</f>
        <v>0.561220392676187</v>
      </c>
      <c r="W18" s="30" t="n">
        <f aca="false">IF(Revenue!W14=0,0,W17/Revenue!W14)</f>
        <v>0.559262339781607</v>
      </c>
      <c r="X18" s="30" t="n">
        <f aca="false">IF(Revenue!X14=0,0,X17/Revenue!X14)</f>
        <v>0.557510190969173</v>
      </c>
      <c r="Y18" s="30" t="n">
        <f aca="false">IF(Revenue!Y14=0,0,Y17/Revenue!Y14)</f>
        <v>0.555941352686189</v>
      </c>
      <c r="Z18" s="30" t="n">
        <f aca="false">IF(Revenue!Z14=0,0,Z17/Revenue!Z14)</f>
        <v>0.554535939956038</v>
      </c>
      <c r="AA18" s="30" t="n">
        <f aca="false">IF(Revenue!AA14=0,0,AA17/Revenue!AA14)</f>
        <v>0.553276396849256</v>
      </c>
      <c r="AB18" s="30" t="n">
        <f aca="false">IF(Revenue!AB14=0,0,AB17/Revenue!AB14)</f>
        <v>0.55214718225903</v>
      </c>
      <c r="AC18" s="30" t="n">
        <f aca="false">IF(Revenue!AC14=0,0,AC17/Revenue!AC14)</f>
        <v>0.551134507405545</v>
      </c>
      <c r="AD18" s="30" t="n">
        <f aca="false">IF(Revenue!AD14=0,0,AD17/Revenue!AD14)</f>
        <v>0.550226114705426</v>
      </c>
      <c r="AE18" s="30" t="n">
        <f aca="false">IF(Revenue!AE14=0,0,AE17/Revenue!AE14)</f>
        <v>0.549411090030808</v>
      </c>
      <c r="AF18" s="30" t="n">
        <f aca="false">IF(Revenue!AF14=0,0,AF17/Revenue!AF14)</f>
        <v>0.548679702171324</v>
      </c>
      <c r="AG18" s="30" t="n">
        <f aca="false">IF(Revenue!AG14=0,0,AG17/Revenue!AG14)</f>
        <v>0.548023264661143</v>
      </c>
      <c r="AH18" s="30" t="n">
        <f aca="false">IF(Revenue!AH14=0,0,AH17/Revenue!AH14)</f>
        <v>0.547434016156912</v>
      </c>
      <c r="AI18" s="30" t="n">
        <f aca="false">IF(Revenue!AI14=0,0,AI17/Revenue!AI14)</f>
        <v>0.546905016334347</v>
      </c>
      <c r="AJ18" s="30" t="n">
        <f aca="false">IF(Revenue!AJ14=0,0,AJ17/Revenue!AJ14)</f>
        <v>0.546430054872232</v>
      </c>
      <c r="AK18" s="30" t="n">
        <f aca="false">IF(Revenue!AK14=0,0,AK17/Revenue!AK14)</f>
        <v>0.546003571557462</v>
      </c>
      <c r="AL18" s="30" t="n">
        <f aca="false">IF(Revenue!AL14=0,0,AL17/Revenue!AL14)</f>
        <v>0.545620585906864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Q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8" min="3" style="0" width="10"/>
    <col collapsed="false" customWidth="true" hidden="false" outlineLevel="0" max="43" min="40" style="0" width="12"/>
  </cols>
  <sheetData>
    <row r="1" customFormat="false" ht="16.15" hidden="false" customHeight="false" outlineLevel="0" collapsed="false">
      <c r="B1" s="1" t="s">
        <v>191</v>
      </c>
    </row>
    <row r="3" customFormat="false" ht="15" hidden="false" customHeight="false" outlineLevel="0" collapsed="false">
      <c r="B3" s="2" t="s">
        <v>146</v>
      </c>
      <c r="C3" s="19" t="n">
        <v>1</v>
      </c>
      <c r="D3" s="19" t="n">
        <v>2</v>
      </c>
      <c r="E3" s="19" t="n">
        <v>3</v>
      </c>
      <c r="F3" s="19" t="n">
        <v>4</v>
      </c>
      <c r="G3" s="19" t="n">
        <v>5</v>
      </c>
      <c r="H3" s="19" t="n">
        <v>6</v>
      </c>
      <c r="I3" s="19" t="n">
        <v>7</v>
      </c>
      <c r="J3" s="19" t="n">
        <v>8</v>
      </c>
      <c r="K3" s="19" t="n">
        <v>9</v>
      </c>
      <c r="L3" s="19" t="n">
        <v>10</v>
      </c>
      <c r="M3" s="19" t="n">
        <v>11</v>
      </c>
      <c r="N3" s="19" t="n">
        <v>12</v>
      </c>
      <c r="O3" s="19" t="n">
        <v>13</v>
      </c>
      <c r="P3" s="19" t="n">
        <v>14</v>
      </c>
      <c r="Q3" s="19" t="n">
        <v>15</v>
      </c>
      <c r="R3" s="19" t="n">
        <v>16</v>
      </c>
      <c r="S3" s="19" t="n">
        <v>17</v>
      </c>
      <c r="T3" s="19" t="n">
        <v>18</v>
      </c>
      <c r="U3" s="19" t="n">
        <v>19</v>
      </c>
      <c r="V3" s="19" t="n">
        <v>20</v>
      </c>
      <c r="W3" s="19" t="n">
        <v>21</v>
      </c>
      <c r="X3" s="19" t="n">
        <v>22</v>
      </c>
      <c r="Y3" s="19" t="n">
        <v>23</v>
      </c>
      <c r="Z3" s="19" t="n">
        <v>24</v>
      </c>
      <c r="AA3" s="19" t="n">
        <v>25</v>
      </c>
      <c r="AB3" s="19" t="n">
        <v>26</v>
      </c>
      <c r="AC3" s="19" t="n">
        <v>27</v>
      </c>
      <c r="AD3" s="19" t="n">
        <v>28</v>
      </c>
      <c r="AE3" s="19" t="n">
        <v>29</v>
      </c>
      <c r="AF3" s="19" t="n">
        <v>30</v>
      </c>
      <c r="AG3" s="19" t="n">
        <v>31</v>
      </c>
      <c r="AH3" s="19" t="n">
        <v>32</v>
      </c>
      <c r="AI3" s="19" t="n">
        <v>33</v>
      </c>
      <c r="AJ3" s="19" t="n">
        <v>34</v>
      </c>
      <c r="AK3" s="19" t="n">
        <v>35</v>
      </c>
      <c r="AL3" s="19" t="n">
        <v>36</v>
      </c>
      <c r="AN3" s="31" t="s">
        <v>192</v>
      </c>
      <c r="AO3" s="31" t="s">
        <v>193</v>
      </c>
      <c r="AP3" s="31" t="s">
        <v>194</v>
      </c>
      <c r="AQ3" s="31" t="s">
        <v>195</v>
      </c>
    </row>
    <row r="4" customFormat="false" ht="15" hidden="false" customHeight="false" outlineLevel="0" collapsed="false">
      <c r="B4" s="2" t="s">
        <v>147</v>
      </c>
      <c r="C4" s="20" t="n">
        <f aca="false">Assumptions!$B$5</f>
        <v>46296</v>
      </c>
      <c r="D4" s="21" t="n">
        <f aca="false">EDATE(C4,1)</f>
        <v>46327</v>
      </c>
      <c r="E4" s="21" t="n">
        <f aca="false">EDATE(D4,1)</f>
        <v>46357</v>
      </c>
      <c r="F4" s="21" t="n">
        <f aca="false">EDATE(E4,1)</f>
        <v>46388</v>
      </c>
      <c r="G4" s="21" t="n">
        <f aca="false">EDATE(F4,1)</f>
        <v>46419</v>
      </c>
      <c r="H4" s="21" t="n">
        <f aca="false">EDATE(G4,1)</f>
        <v>46447</v>
      </c>
      <c r="I4" s="21" t="n">
        <f aca="false">EDATE(H4,1)</f>
        <v>46478</v>
      </c>
      <c r="J4" s="21" t="n">
        <f aca="false">EDATE(I4,1)</f>
        <v>46508</v>
      </c>
      <c r="K4" s="21" t="n">
        <f aca="false">EDATE(J4,1)</f>
        <v>46539</v>
      </c>
      <c r="L4" s="21" t="n">
        <f aca="false">EDATE(K4,1)</f>
        <v>46569</v>
      </c>
      <c r="M4" s="21" t="n">
        <f aca="false">EDATE(L4,1)</f>
        <v>46600</v>
      </c>
      <c r="N4" s="21" t="n">
        <f aca="false">EDATE(M4,1)</f>
        <v>46631</v>
      </c>
      <c r="O4" s="21" t="n">
        <f aca="false">EDATE(N4,1)</f>
        <v>46661</v>
      </c>
      <c r="P4" s="21" t="n">
        <f aca="false">EDATE(O4,1)</f>
        <v>46692</v>
      </c>
      <c r="Q4" s="21" t="n">
        <f aca="false">EDATE(P4,1)</f>
        <v>46722</v>
      </c>
      <c r="R4" s="21" t="n">
        <f aca="false">EDATE(Q4,1)</f>
        <v>46753</v>
      </c>
      <c r="S4" s="21" t="n">
        <f aca="false">EDATE(R4,1)</f>
        <v>46784</v>
      </c>
      <c r="T4" s="21" t="n">
        <f aca="false">EDATE(S4,1)</f>
        <v>46813</v>
      </c>
      <c r="U4" s="21" t="n">
        <f aca="false">EDATE(T4,1)</f>
        <v>46844</v>
      </c>
      <c r="V4" s="21" t="n">
        <f aca="false">EDATE(U4,1)</f>
        <v>46874</v>
      </c>
      <c r="W4" s="21" t="n">
        <f aca="false">EDATE(V4,1)</f>
        <v>46905</v>
      </c>
      <c r="X4" s="21" t="n">
        <f aca="false">EDATE(W4,1)</f>
        <v>46935</v>
      </c>
      <c r="Y4" s="21" t="n">
        <f aca="false">EDATE(X4,1)</f>
        <v>46966</v>
      </c>
      <c r="Z4" s="21" t="n">
        <f aca="false">EDATE(Y4,1)</f>
        <v>46997</v>
      </c>
      <c r="AA4" s="21" t="n">
        <f aca="false">EDATE(Z4,1)</f>
        <v>47027</v>
      </c>
      <c r="AB4" s="21" t="n">
        <f aca="false">EDATE(AA4,1)</f>
        <v>47058</v>
      </c>
      <c r="AC4" s="21" t="n">
        <f aca="false">EDATE(AB4,1)</f>
        <v>47088</v>
      </c>
      <c r="AD4" s="21" t="n">
        <f aca="false">EDATE(AC4,1)</f>
        <v>47119</v>
      </c>
      <c r="AE4" s="21" t="n">
        <f aca="false">EDATE(AD4,1)</f>
        <v>47150</v>
      </c>
      <c r="AF4" s="21" t="n">
        <f aca="false">EDATE(AE4,1)</f>
        <v>47178</v>
      </c>
      <c r="AG4" s="21" t="n">
        <f aca="false">EDATE(AF4,1)</f>
        <v>47209</v>
      </c>
      <c r="AH4" s="21" t="n">
        <f aca="false">EDATE(AG4,1)</f>
        <v>47239</v>
      </c>
      <c r="AI4" s="21" t="n">
        <f aca="false">EDATE(AH4,1)</f>
        <v>47270</v>
      </c>
      <c r="AJ4" s="21" t="n">
        <f aca="false">EDATE(AI4,1)</f>
        <v>47300</v>
      </c>
      <c r="AK4" s="21" t="n">
        <f aca="false">EDATE(AJ4,1)</f>
        <v>47331</v>
      </c>
      <c r="AL4" s="21" t="n">
        <f aca="false">EDATE(AK4,1)</f>
        <v>47362</v>
      </c>
    </row>
    <row r="6" customFormat="false" ht="15" hidden="false" customHeight="false" outlineLevel="0" collapsed="false">
      <c r="B6" s="2" t="s">
        <v>196</v>
      </c>
      <c r="C6" s="32" t="n">
        <f aca="false">Revenue!C14</f>
        <v>468.325</v>
      </c>
      <c r="D6" s="32" t="n">
        <f aca="false">Revenue!D14</f>
        <v>624.46805</v>
      </c>
      <c r="E6" s="32" t="n">
        <f aca="false">Revenue!E14</f>
        <v>1290.5152885</v>
      </c>
      <c r="F6" s="32" t="n">
        <f aca="false">Revenue!F14</f>
        <v>1462.788838645</v>
      </c>
      <c r="G6" s="32" t="n">
        <f aca="false">Revenue!G14</f>
        <v>1647.77195586165</v>
      </c>
      <c r="H6" s="32" t="n">
        <f aca="false">Revenue!H14</f>
        <v>1847.02107864172</v>
      </c>
      <c r="I6" s="32" t="n">
        <f aca="false">Revenue!I14</f>
        <v>2062.23003612282</v>
      </c>
      <c r="J6" s="32" t="n">
        <f aca="false">Revenue!J14</f>
        <v>2295.24502529395</v>
      </c>
      <c r="K6" s="32" t="n">
        <f aca="false">Revenue!K14</f>
        <v>2548.08099745359</v>
      </c>
      <c r="L6" s="32" t="n">
        <f aca="false">Revenue!L14</f>
        <v>2822.93960141255</v>
      </c>
      <c r="M6" s="32" t="n">
        <f aca="false">Revenue!M14</f>
        <v>3122.22884518264</v>
      </c>
      <c r="N6" s="32" t="n">
        <f aca="false">Revenue!N14</f>
        <v>3448.58465360486</v>
      </c>
      <c r="O6" s="32" t="n">
        <f aca="false">Revenue!O14</f>
        <v>3804.89451668995</v>
      </c>
      <c r="P6" s="32" t="n">
        <f aca="false">Revenue!P14</f>
        <v>4194.323442529</v>
      </c>
      <c r="Q6" s="32" t="n">
        <f aca="false">Revenue!Q14</f>
        <v>4620.34244965448</v>
      </c>
      <c r="R6" s="32" t="n">
        <f aca="false">Revenue!R14</f>
        <v>5086.75985688626</v>
      </c>
      <c r="S6" s="32" t="n">
        <f aca="false">Revenue!S14</f>
        <v>5597.75565419112</v>
      </c>
      <c r="T6" s="32" t="n">
        <f aca="false">Revenue!T14</f>
        <v>6157.91926615297</v>
      </c>
      <c r="U6" s="32" t="n">
        <f aca="false">Revenue!U14</f>
        <v>6772.29105054711</v>
      </c>
      <c r="V6" s="32" t="n">
        <f aca="false">Revenue!V14</f>
        <v>7446.40790851878</v>
      </c>
      <c r="W6" s="32" t="n">
        <f aca="false">Revenue!W14</f>
        <v>8186.35342029195</v>
      </c>
      <c r="X6" s="32" t="n">
        <f aca="false">Revenue!X14</f>
        <v>8998.81296152016</v>
      </c>
      <c r="Y6" s="32" t="n">
        <f aca="false">Revenue!Y14</f>
        <v>9891.13430071102</v>
      </c>
      <c r="Z6" s="32" t="n">
        <f aca="false">Revenue!Z14</f>
        <v>10871.394228023</v>
      </c>
      <c r="AA6" s="32" t="n">
        <f aca="false">Revenue!AA14</f>
        <v>11948.4718206</v>
      </c>
      <c r="AB6" s="32" t="n">
        <f aca="false">Revenue!AB14</f>
        <v>13132.1290099742</v>
      </c>
      <c r="AC6" s="32" t="n">
        <f aca="false">Revenue!AC14</f>
        <v>14433.0991834843</v>
      </c>
      <c r="AD6" s="32" t="n">
        <f aca="false">Revenue!AD14</f>
        <v>15863.1846247186</v>
      </c>
      <c r="AE6" s="32" t="n">
        <f aca="false">Revenue!AE14</f>
        <v>17435.363678378</v>
      </c>
      <c r="AF6" s="32" t="n">
        <f aca="false">Revenue!AF14</f>
        <v>19163.9086133825</v>
      </c>
      <c r="AG6" s="32" t="n">
        <f aca="false">Revenue!AG14</f>
        <v>21064.5152553245</v>
      </c>
      <c r="AH6" s="32" t="n">
        <f aca="false">Revenue!AH14</f>
        <v>23154.4455663914</v>
      </c>
      <c r="AI6" s="32" t="n">
        <f aca="false">Revenue!AI14</f>
        <v>25452.6844686036</v>
      </c>
      <c r="AJ6" s="32" t="n">
        <f aca="false">Revenue!AJ14</f>
        <v>27980.1123357176</v>
      </c>
      <c r="AK6" s="32" t="n">
        <f aca="false">Revenue!AK14</f>
        <v>30759.6947216092</v>
      </c>
      <c r="AL6" s="32" t="n">
        <f aca="false">Revenue!AL14</f>
        <v>33816.6910496584</v>
      </c>
      <c r="AN6" s="29" t="n">
        <f aca="false">SUM(C6:N6)</f>
        <v>23640.1993707188</v>
      </c>
      <c r="AO6" s="29" t="n">
        <f aca="false">SUM(O6:Z6)</f>
        <v>81628.3890557158</v>
      </c>
      <c r="AP6" s="29" t="n">
        <f aca="false">SUM(AA6:AL6)</f>
        <v>254204.300327842</v>
      </c>
      <c r="AQ6" s="29" t="n">
        <f aca="false">SUM(AN6:AP6)</f>
        <v>359472.888754277</v>
      </c>
    </row>
    <row r="7" customFormat="false" ht="15" hidden="false" customHeight="false" outlineLevel="0" collapsed="false">
      <c r="B7" s="3" t="s">
        <v>197</v>
      </c>
      <c r="C7" s="32" t="n">
        <f aca="false">COGS!C16</f>
        <v>178.6964</v>
      </c>
      <c r="D7" s="32" t="n">
        <f aca="false">COGS!D16</f>
        <v>252.0056776</v>
      </c>
      <c r="E7" s="32" t="n">
        <f aca="false">COGS!E16</f>
        <v>406.059388232</v>
      </c>
      <c r="F7" s="32" t="n">
        <f aca="false">COGS!F16</f>
        <v>488.10387646664</v>
      </c>
      <c r="G7" s="32" t="n">
        <f aca="false">COGS!G16</f>
        <v>575.869817680673</v>
      </c>
      <c r="H7" s="32" t="n">
        <f aca="false">COGS!H16</f>
        <v>670.073632881082</v>
      </c>
      <c r="I7" s="32" t="n">
        <f aca="false">COGS!I16</f>
        <v>771.494474095342</v>
      </c>
      <c r="J7" s="32" t="n">
        <f aca="false">COGS!J16</f>
        <v>880.981086127777</v>
      </c>
      <c r="K7" s="32" t="n">
        <f aca="false">COGS!K16</f>
        <v>999.459313344323</v>
      </c>
      <c r="L7" s="32" t="n">
        <f aca="false">COGS!L16</f>
        <v>1127.9403189915</v>
      </c>
      <c r="M7" s="32" t="n">
        <f aca="false">COGS!M16</f>
        <v>1267.52959107997</v>
      </c>
      <c r="N7" s="32" t="n">
        <f aca="false">COGS!N16</f>
        <v>1419.43681605739</v>
      </c>
      <c r="O7" s="32" t="n">
        <f aca="false">COGS!O16</f>
        <v>1584.98670942505</v>
      </c>
      <c r="P7" s="32" t="n">
        <f aca="false">COGS!P16</f>
        <v>1765.63090119054</v>
      </c>
      <c r="Q7" s="32" t="n">
        <f aca="false">COGS!Q16</f>
        <v>1962.9609836734</v>
      </c>
      <c r="R7" s="32" t="n">
        <f aca="false">COGS!R16</f>
        <v>2178.72283978093</v>
      </c>
      <c r="S7" s="32" t="n">
        <f aca="false">COGS!S16</f>
        <v>2414.83238154301</v>
      </c>
      <c r="T7" s="32" t="n">
        <f aca="false">COGS!T16</f>
        <v>2673.39284154402</v>
      </c>
      <c r="U7" s="32" t="n">
        <f aca="false">COGS!U16</f>
        <v>2956.71377403449</v>
      </c>
      <c r="V7" s="32" t="n">
        <f aca="false">COGS!V16</f>
        <v>3267.3319380728</v>
      </c>
      <c r="W7" s="32" t="n">
        <f aca="false">COGS!W16</f>
        <v>3608.03425218031</v>
      </c>
      <c r="X7" s="32" t="n">
        <f aca="false">COGS!X16</f>
        <v>3981.88302884719</v>
      </c>
      <c r="Y7" s="32" t="n">
        <f aca="false">COGS!Y16</f>
        <v>4392.24371797297</v>
      </c>
      <c r="Z7" s="32" t="n">
        <f aca="false">COGS!Z16</f>
        <v>4842.81541115363</v>
      </c>
      <c r="AA7" s="32" t="n">
        <f aca="false">COGS!AA16</f>
        <v>5337.66438384355</v>
      </c>
      <c r="AB7" s="32" t="n">
        <f aca="false">COGS!AB16</f>
        <v>5881.26098005488</v>
      </c>
      <c r="AC7" s="32" t="n">
        <f aca="false">COGS!AC16</f>
        <v>6478.52017465931</v>
      </c>
      <c r="AD7" s="32" t="n">
        <f aca="false">COGS!AD16</f>
        <v>7134.84618180483</v>
      </c>
      <c r="AE7" s="32" t="n">
        <f aca="false">COGS!AE16</f>
        <v>7856.18151475679</v>
      </c>
      <c r="AF7" s="32" t="n">
        <f aca="false">COGS!AF16</f>
        <v>8649.06094295331</v>
      </c>
      <c r="AG7" s="32" t="n">
        <f aca="false">COGS!AG16</f>
        <v>9520.67083659709</v>
      </c>
      <c r="AH7" s="32" t="n">
        <f aca="false">COGS!AH16</f>
        <v>10478.9144380952</v>
      </c>
      <c r="AI7" s="32" t="n">
        <f aca="false">COGS!AI16</f>
        <v>11532.4836535489</v>
      </c>
      <c r="AJ7" s="32" t="n">
        <f aca="false">COGS!AJ16</f>
        <v>12690.9380167802</v>
      </c>
      <c r="AK7" s="32" t="n">
        <f aca="false">COGS!AK16</f>
        <v>13964.7915435934</v>
      </c>
      <c r="AL7" s="32" t="n">
        <f aca="false">COGS!AL16</f>
        <v>15365.6082657124</v>
      </c>
      <c r="AN7" s="29" t="n">
        <f aca="false">SUM(C7:N7)</f>
        <v>9037.65039255669</v>
      </c>
      <c r="AO7" s="29" t="n">
        <f aca="false">SUM(O7:Z7)</f>
        <v>35629.5487794184</v>
      </c>
      <c r="AP7" s="29" t="n">
        <f aca="false">SUM(AA7:AL7)</f>
        <v>114890.9409324</v>
      </c>
      <c r="AQ7" s="29" t="n">
        <f aca="false">SUM(AN7:AP7)</f>
        <v>159558.140104375</v>
      </c>
    </row>
    <row r="8" customFormat="false" ht="15" hidden="false" customHeight="false" outlineLevel="0" collapsed="false">
      <c r="B8" s="2" t="s">
        <v>189</v>
      </c>
      <c r="C8" s="29" t="n">
        <f aca="false">C6-C7</f>
        <v>289.6286</v>
      </c>
      <c r="D8" s="29" t="n">
        <f aca="false">D6-D7</f>
        <v>372.4623724</v>
      </c>
      <c r="E8" s="29" t="n">
        <f aca="false">E6-E7</f>
        <v>884.455900268</v>
      </c>
      <c r="F8" s="29" t="n">
        <f aca="false">F6-F7</f>
        <v>974.68496217836</v>
      </c>
      <c r="G8" s="29" t="n">
        <f aca="false">G6-G7</f>
        <v>1071.90213818098</v>
      </c>
      <c r="H8" s="29" t="n">
        <f aca="false">H6-H7</f>
        <v>1176.94744576064</v>
      </c>
      <c r="I8" s="29" t="n">
        <f aca="false">I6-I7</f>
        <v>1290.73556202747</v>
      </c>
      <c r="J8" s="29" t="n">
        <f aca="false">J6-J7</f>
        <v>1414.26393916617</v>
      </c>
      <c r="K8" s="29" t="n">
        <f aca="false">K6-K7</f>
        <v>1548.62168410927</v>
      </c>
      <c r="L8" s="29" t="n">
        <f aca="false">L6-L7</f>
        <v>1694.99928242105</v>
      </c>
      <c r="M8" s="29" t="n">
        <f aca="false">M6-M7</f>
        <v>1854.69925410267</v>
      </c>
      <c r="N8" s="29" t="n">
        <f aca="false">N6-N7</f>
        <v>2029.14783754747</v>
      </c>
      <c r="O8" s="29" t="n">
        <f aca="false">O6-O7</f>
        <v>2219.90780726491</v>
      </c>
      <c r="P8" s="29" t="n">
        <f aca="false">P6-P7</f>
        <v>2428.69254133846</v>
      </c>
      <c r="Q8" s="29" t="n">
        <f aca="false">Q6-Q7</f>
        <v>2657.38146598109</v>
      </c>
      <c r="R8" s="29" t="n">
        <f aca="false">R6-R7</f>
        <v>2908.03701710533</v>
      </c>
      <c r="S8" s="29" t="n">
        <f aca="false">S6-S7</f>
        <v>3182.9232726481</v>
      </c>
      <c r="T8" s="29" t="n">
        <f aca="false">T6-T7</f>
        <v>3484.52642460894</v>
      </c>
      <c r="U8" s="29" t="n">
        <f aca="false">U6-U7</f>
        <v>3815.57727651262</v>
      </c>
      <c r="V8" s="29" t="n">
        <f aca="false">V6-V7</f>
        <v>4179.07597044597</v>
      </c>
      <c r="W8" s="29" t="n">
        <f aca="false">W6-W7</f>
        <v>4578.31916811164</v>
      </c>
      <c r="X8" s="29" t="n">
        <f aca="false">X6-X7</f>
        <v>5016.92993267297</v>
      </c>
      <c r="Y8" s="29" t="n">
        <f aca="false">Y6-Y7</f>
        <v>5498.89058273805</v>
      </c>
      <c r="Z8" s="29" t="n">
        <f aca="false">Z6-Z7</f>
        <v>6028.5788168694</v>
      </c>
      <c r="AA8" s="29" t="n">
        <f aca="false">AA6-AA7</f>
        <v>6610.80743675642</v>
      </c>
      <c r="AB8" s="29" t="n">
        <f aca="false">AB6-AB7</f>
        <v>7250.86802991931</v>
      </c>
      <c r="AC8" s="29" t="n">
        <f aca="false">AC6-AC7</f>
        <v>7954.57900882499</v>
      </c>
      <c r="AD8" s="29" t="n">
        <f aca="false">AD6-AD7</f>
        <v>8728.33844291375</v>
      </c>
      <c r="AE8" s="29" t="n">
        <f aca="false">AE6-AE7</f>
        <v>9579.18216362122</v>
      </c>
      <c r="AF8" s="29" t="n">
        <f aca="false">AF6-AF7</f>
        <v>10514.8476704292</v>
      </c>
      <c r="AG8" s="29" t="n">
        <f aca="false">AG6-AG7</f>
        <v>11543.8444187274</v>
      </c>
      <c r="AH8" s="29" t="n">
        <f aca="false">AH6-AH7</f>
        <v>12675.5311282963</v>
      </c>
      <c r="AI8" s="29" t="n">
        <f aca="false">AI6-AI7</f>
        <v>13920.2008150546</v>
      </c>
      <c r="AJ8" s="29" t="n">
        <f aca="false">AJ6-AJ7</f>
        <v>15289.1743189374</v>
      </c>
      <c r="AK8" s="29" t="n">
        <f aca="false">AK6-AK7</f>
        <v>16794.9031780158</v>
      </c>
      <c r="AL8" s="29" t="n">
        <f aca="false">AL6-AL7</f>
        <v>18451.082783946</v>
      </c>
      <c r="AN8" s="29" t="n">
        <f aca="false">SUM(C8:N8)</f>
        <v>14602.5489781621</v>
      </c>
      <c r="AO8" s="29" t="n">
        <f aca="false">SUM(O8:Z8)</f>
        <v>45998.8402762975</v>
      </c>
      <c r="AP8" s="29" t="n">
        <f aca="false">SUM(AA8:AL8)</f>
        <v>139313.359395442</v>
      </c>
      <c r="AQ8" s="29" t="n">
        <f aca="false">SUM(AN8:AP8)</f>
        <v>199914.748649902</v>
      </c>
    </row>
    <row r="9" customFormat="false" ht="15" hidden="false" customHeight="false" outlineLevel="0" collapsed="false">
      <c r="B9" s="3" t="s">
        <v>190</v>
      </c>
      <c r="C9" s="33" t="n">
        <f aca="false">IF(C6=0,0,C8/C6)</f>
        <v>0.618435061122084</v>
      </c>
      <c r="D9" s="33" t="n">
        <f aca="false">IF(D6=0,0,D8/D6)</f>
        <v>0.596447444188698</v>
      </c>
      <c r="E9" s="33" t="n">
        <f aca="false">IF(E6=0,0,E8/E6)</f>
        <v>0.68535096650891</v>
      </c>
      <c r="F9" s="33" t="n">
        <f aca="false">IF(F6=0,0,F8/F6)</f>
        <v>0.66631966038326</v>
      </c>
      <c r="G9" s="33" t="n">
        <f aca="false">IF(G6=0,0,G8/G6)</f>
        <v>0.650516070726826</v>
      </c>
      <c r="H9" s="33" t="n">
        <f aca="false">IF(H6=0,0,H8/H6)</f>
        <v>0.637213867979327</v>
      </c>
      <c r="I9" s="33" t="n">
        <f aca="false">IF(I6=0,0,I8/I6)</f>
        <v>0.625893105724605</v>
      </c>
      <c r="J9" s="33" t="n">
        <f aca="false">IF(J6=0,0,J8/J6)</f>
        <v>0.616171225111379</v>
      </c>
      <c r="K9" s="33" t="n">
        <f aca="false">IF(K6=0,0,K8/K6)</f>
        <v>0.607759991011617</v>
      </c>
      <c r="L9" s="33" t="n">
        <f aca="false">IF(L6=0,0,L8/L6)</f>
        <v>0.600437671983099</v>
      </c>
      <c r="M9" s="33" t="n">
        <f aca="false">IF(M6=0,0,M8/M6)</f>
        <v>0.594030529493162</v>
      </c>
      <c r="N9" s="33" t="n">
        <f aca="false">IF(N6=0,0,N8/N6)</f>
        <v>0.588400181919958</v>
      </c>
      <c r="O9" s="33" t="n">
        <f aca="false">IF(O6=0,0,O8/O6)</f>
        <v>0.583434783152965</v>
      </c>
      <c r="P9" s="33" t="n">
        <f aca="false">IF(P6=0,0,P8/P6)</f>
        <v>0.579042740650935</v>
      </c>
      <c r="Q9" s="33" t="n">
        <f aca="false">IF(Q6=0,0,Q8/Q6)</f>
        <v>0.575148161621615</v>
      </c>
      <c r="R9" s="33" t="n">
        <f aca="false">IF(R6=0,0,R8/R6)</f>
        <v>0.571687498313596</v>
      </c>
      <c r="S9" s="33" t="n">
        <f aca="false">IF(S6=0,0,S8/S6)</f>
        <v>0.568607039906253</v>
      </c>
      <c r="T9" s="33" t="n">
        <f aca="false">IF(T6=0,0,T8/T6)</f>
        <v>0.565861011488354</v>
      </c>
      <c r="U9" s="33" t="n">
        <f aca="false">IF(U6=0,0,U8/U6)</f>
        <v>0.563410114543788</v>
      </c>
      <c r="V9" s="33" t="n">
        <f aca="false">IF(V6=0,0,V8/V6)</f>
        <v>0.561220392676187</v>
      </c>
      <c r="W9" s="33" t="n">
        <f aca="false">IF(W6=0,0,W8/W6)</f>
        <v>0.559262339781607</v>
      </c>
      <c r="X9" s="33" t="n">
        <f aca="false">IF(X6=0,0,X8/X6)</f>
        <v>0.557510190969173</v>
      </c>
      <c r="Y9" s="33" t="n">
        <f aca="false">IF(Y6=0,0,Y8/Y6)</f>
        <v>0.555941352686189</v>
      </c>
      <c r="Z9" s="33" t="n">
        <f aca="false">IF(Z6=0,0,Z8/Z6)</f>
        <v>0.554535939956038</v>
      </c>
      <c r="AA9" s="33" t="n">
        <f aca="false">IF(AA6=0,0,AA8/AA6)</f>
        <v>0.553276396849256</v>
      </c>
      <c r="AB9" s="33" t="n">
        <f aca="false">IF(AB6=0,0,AB8/AB6)</f>
        <v>0.55214718225903</v>
      </c>
      <c r="AC9" s="33" t="n">
        <f aca="false">IF(AC6=0,0,AC8/AC6)</f>
        <v>0.551134507405545</v>
      </c>
      <c r="AD9" s="33" t="n">
        <f aca="false">IF(AD6=0,0,AD8/AD6)</f>
        <v>0.550226114705426</v>
      </c>
      <c r="AE9" s="33" t="n">
        <f aca="false">IF(AE6=0,0,AE8/AE6)</f>
        <v>0.549411090030808</v>
      </c>
      <c r="AF9" s="33" t="n">
        <f aca="false">IF(AF6=0,0,AF8/AF6)</f>
        <v>0.548679702171324</v>
      </c>
      <c r="AG9" s="33" t="n">
        <f aca="false">IF(AG6=0,0,AG8/AG6)</f>
        <v>0.548023264661143</v>
      </c>
      <c r="AH9" s="33" t="n">
        <f aca="false">IF(AH6=0,0,AH8/AH6)</f>
        <v>0.547434016156912</v>
      </c>
      <c r="AI9" s="33" t="n">
        <f aca="false">IF(AI6=0,0,AI8/AI6)</f>
        <v>0.546905016334347</v>
      </c>
      <c r="AJ9" s="33" t="n">
        <f aca="false">IF(AJ6=0,0,AJ8/AJ6)</f>
        <v>0.546430054872232</v>
      </c>
      <c r="AK9" s="33" t="n">
        <f aca="false">IF(AK6=0,0,AK8/AK6)</f>
        <v>0.546003571557462</v>
      </c>
      <c r="AL9" s="33" t="n">
        <f aca="false">IF(AL6=0,0,AL8/AL6)</f>
        <v>0.545620585906864</v>
      </c>
      <c r="AN9" s="33" t="n">
        <f aca="false">IF(AN6=0,0,AN8/AN6)</f>
        <v>0.617699908074764</v>
      </c>
      <c r="AO9" s="33" t="n">
        <f aca="false">IF(AO6=0,0,AO8/AO6)</f>
        <v>0.563515228077094</v>
      </c>
      <c r="AP9" s="33" t="n">
        <f aca="false">IF(AP6=0,0,AP8/AP6)</f>
        <v>0.548036989208179</v>
      </c>
      <c r="AQ9" s="33" t="n">
        <f aca="false">IF(AQ6=0,0,AQ8/AQ6)</f>
        <v>0.556133035074466</v>
      </c>
    </row>
    <row r="11" customFormat="false" ht="15" hidden="false" customHeight="false" outlineLevel="0" collapsed="false">
      <c r="B11" s="3" t="s">
        <v>121</v>
      </c>
      <c r="C11" s="32" t="n">
        <f aca="false">Assumptions!$B$53</f>
        <v>8000</v>
      </c>
      <c r="D11" s="32" t="n">
        <f aca="false">Assumptions!$B$53</f>
        <v>8000</v>
      </c>
      <c r="E11" s="32" t="n">
        <f aca="false">Assumptions!$B$53</f>
        <v>8000</v>
      </c>
      <c r="F11" s="32" t="n">
        <f aca="false">Assumptions!$B$53</f>
        <v>8000</v>
      </c>
      <c r="G11" s="32" t="n">
        <f aca="false">Assumptions!$B$53</f>
        <v>8000</v>
      </c>
      <c r="H11" s="32" t="n">
        <f aca="false">Assumptions!$B$53</f>
        <v>8000</v>
      </c>
      <c r="I11" s="32" t="n">
        <f aca="false">Assumptions!$B$53</f>
        <v>8000</v>
      </c>
      <c r="J11" s="32" t="n">
        <f aca="false">Assumptions!$B$53</f>
        <v>8000</v>
      </c>
      <c r="K11" s="32" t="n">
        <f aca="false">Assumptions!$B$53</f>
        <v>8000</v>
      </c>
      <c r="L11" s="32" t="n">
        <f aca="false">Assumptions!$B$53</f>
        <v>8000</v>
      </c>
      <c r="M11" s="32" t="n">
        <f aca="false">Assumptions!$B$53</f>
        <v>8000</v>
      </c>
      <c r="N11" s="32" t="n">
        <f aca="false">Assumptions!$B$53</f>
        <v>8000</v>
      </c>
      <c r="O11" s="32" t="n">
        <f aca="false">Assumptions!$B$53</f>
        <v>8000</v>
      </c>
      <c r="P11" s="32" t="n">
        <f aca="false">Assumptions!$B$53</f>
        <v>8000</v>
      </c>
      <c r="Q11" s="32" t="n">
        <f aca="false">Assumptions!$B$53</f>
        <v>8000</v>
      </c>
      <c r="R11" s="32" t="n">
        <f aca="false">Assumptions!$B$53</f>
        <v>8000</v>
      </c>
      <c r="S11" s="32" t="n">
        <f aca="false">Assumptions!$B$53</f>
        <v>8000</v>
      </c>
      <c r="T11" s="32" t="n">
        <f aca="false">Assumptions!$B$53</f>
        <v>8000</v>
      </c>
      <c r="U11" s="32" t="n">
        <f aca="false">Assumptions!$B$53</f>
        <v>8000</v>
      </c>
      <c r="V11" s="32" t="n">
        <f aca="false">Assumptions!$B$53</f>
        <v>8000</v>
      </c>
      <c r="W11" s="32" t="n">
        <f aca="false">Assumptions!$B$53</f>
        <v>8000</v>
      </c>
      <c r="X11" s="32" t="n">
        <f aca="false">Assumptions!$B$53</f>
        <v>8000</v>
      </c>
      <c r="Y11" s="32" t="n">
        <f aca="false">Assumptions!$B$53</f>
        <v>8000</v>
      </c>
      <c r="Z11" s="32" t="n">
        <f aca="false">Assumptions!$B$53</f>
        <v>8000</v>
      </c>
      <c r="AA11" s="32" t="n">
        <f aca="false">Assumptions!$B$53</f>
        <v>8000</v>
      </c>
      <c r="AB11" s="32" t="n">
        <f aca="false">Assumptions!$B$53</f>
        <v>8000</v>
      </c>
      <c r="AC11" s="32" t="n">
        <f aca="false">Assumptions!$B$53</f>
        <v>8000</v>
      </c>
      <c r="AD11" s="32" t="n">
        <f aca="false">Assumptions!$B$53</f>
        <v>8000</v>
      </c>
      <c r="AE11" s="32" t="n">
        <f aca="false">Assumptions!$B$53</f>
        <v>8000</v>
      </c>
      <c r="AF11" s="32" t="n">
        <f aca="false">Assumptions!$B$53</f>
        <v>8000</v>
      </c>
      <c r="AG11" s="32" t="n">
        <f aca="false">Assumptions!$B$53</f>
        <v>8000</v>
      </c>
      <c r="AH11" s="32" t="n">
        <f aca="false">Assumptions!$B$53</f>
        <v>8000</v>
      </c>
      <c r="AI11" s="32" t="n">
        <f aca="false">Assumptions!$B$53</f>
        <v>8000</v>
      </c>
      <c r="AJ11" s="32" t="n">
        <f aca="false">Assumptions!$B$53</f>
        <v>8000</v>
      </c>
      <c r="AK11" s="32" t="n">
        <f aca="false">Assumptions!$B$53</f>
        <v>8000</v>
      </c>
      <c r="AL11" s="32" t="n">
        <f aca="false">Assumptions!$B$53</f>
        <v>8000</v>
      </c>
      <c r="AN11" s="29" t="n">
        <f aca="false">SUM(C11:N11)</f>
        <v>96000</v>
      </c>
      <c r="AO11" s="29" t="n">
        <f aca="false">SUM(O11:Z11)</f>
        <v>96000</v>
      </c>
      <c r="AP11" s="29" t="n">
        <f aca="false">SUM(AA11:AL11)</f>
        <v>96000</v>
      </c>
      <c r="AQ11" s="29" t="n">
        <f aca="false">SUM(AN11:AP11)</f>
        <v>288000</v>
      </c>
    </row>
    <row r="12" customFormat="false" ht="15" hidden="false" customHeight="false" outlineLevel="0" collapsed="false">
      <c r="B12" s="3" t="s">
        <v>198</v>
      </c>
      <c r="C12" s="32" t="n">
        <f aca="false">Assumptions!$B$54</f>
        <v>500</v>
      </c>
      <c r="D12" s="32" t="n">
        <f aca="false">Assumptions!$B$54</f>
        <v>500</v>
      </c>
      <c r="E12" s="32" t="n">
        <f aca="false">Assumptions!$B$54</f>
        <v>500</v>
      </c>
      <c r="F12" s="32" t="n">
        <f aca="false">Assumptions!$B$54</f>
        <v>500</v>
      </c>
      <c r="G12" s="32" t="n">
        <f aca="false">Assumptions!$B$54</f>
        <v>500</v>
      </c>
      <c r="H12" s="32" t="n">
        <f aca="false">Assumptions!$B$54</f>
        <v>500</v>
      </c>
      <c r="I12" s="32" t="n">
        <f aca="false">Assumptions!$B$54</f>
        <v>500</v>
      </c>
      <c r="J12" s="32" t="n">
        <f aca="false">Assumptions!$B$54</f>
        <v>500</v>
      </c>
      <c r="K12" s="32" t="n">
        <f aca="false">Assumptions!$B$54</f>
        <v>500</v>
      </c>
      <c r="L12" s="32" t="n">
        <f aca="false">Assumptions!$B$54</f>
        <v>500</v>
      </c>
      <c r="M12" s="32" t="n">
        <f aca="false">Assumptions!$B$54</f>
        <v>500</v>
      </c>
      <c r="N12" s="32" t="n">
        <f aca="false">Assumptions!$B$54</f>
        <v>500</v>
      </c>
      <c r="O12" s="32" t="n">
        <f aca="false">Assumptions!$B$54</f>
        <v>500</v>
      </c>
      <c r="P12" s="32" t="n">
        <f aca="false">Assumptions!$B$54</f>
        <v>500</v>
      </c>
      <c r="Q12" s="32" t="n">
        <f aca="false">Assumptions!$B$54</f>
        <v>500</v>
      </c>
      <c r="R12" s="32" t="n">
        <f aca="false">Assumptions!$B$54</f>
        <v>500</v>
      </c>
      <c r="S12" s="32" t="n">
        <f aca="false">Assumptions!$B$54</f>
        <v>500</v>
      </c>
      <c r="T12" s="32" t="n">
        <f aca="false">Assumptions!$B$54</f>
        <v>500</v>
      </c>
      <c r="U12" s="32" t="n">
        <f aca="false">Assumptions!$B$54</f>
        <v>500</v>
      </c>
      <c r="V12" s="32" t="n">
        <f aca="false">Assumptions!$B$54</f>
        <v>500</v>
      </c>
      <c r="W12" s="32" t="n">
        <f aca="false">Assumptions!$B$54</f>
        <v>500</v>
      </c>
      <c r="X12" s="32" t="n">
        <f aca="false">Assumptions!$B$54</f>
        <v>500</v>
      </c>
      <c r="Y12" s="32" t="n">
        <f aca="false">Assumptions!$B$54</f>
        <v>500</v>
      </c>
      <c r="Z12" s="32" t="n">
        <f aca="false">Assumptions!$B$54</f>
        <v>500</v>
      </c>
      <c r="AA12" s="32" t="n">
        <f aca="false">Assumptions!$B$54</f>
        <v>500</v>
      </c>
      <c r="AB12" s="32" t="n">
        <f aca="false">Assumptions!$B$54</f>
        <v>500</v>
      </c>
      <c r="AC12" s="32" t="n">
        <f aca="false">Assumptions!$B$54</f>
        <v>500</v>
      </c>
      <c r="AD12" s="32" t="n">
        <f aca="false">Assumptions!$B$54</f>
        <v>500</v>
      </c>
      <c r="AE12" s="32" t="n">
        <f aca="false">Assumptions!$B$54</f>
        <v>500</v>
      </c>
      <c r="AF12" s="32" t="n">
        <f aca="false">Assumptions!$B$54</f>
        <v>500</v>
      </c>
      <c r="AG12" s="32" t="n">
        <f aca="false">Assumptions!$B$54</f>
        <v>500</v>
      </c>
      <c r="AH12" s="32" t="n">
        <f aca="false">Assumptions!$B$54</f>
        <v>500</v>
      </c>
      <c r="AI12" s="32" t="n">
        <f aca="false">Assumptions!$B$54</f>
        <v>500</v>
      </c>
      <c r="AJ12" s="32" t="n">
        <f aca="false">Assumptions!$B$54</f>
        <v>500</v>
      </c>
      <c r="AK12" s="32" t="n">
        <f aca="false">Assumptions!$B$54</f>
        <v>500</v>
      </c>
      <c r="AL12" s="32" t="n">
        <f aca="false">Assumptions!$B$54</f>
        <v>500</v>
      </c>
      <c r="AN12" s="29" t="n">
        <f aca="false">SUM(C12:N12)</f>
        <v>6000</v>
      </c>
      <c r="AO12" s="29" t="n">
        <f aca="false">SUM(O12:Z12)</f>
        <v>6000</v>
      </c>
      <c r="AP12" s="29" t="n">
        <f aca="false">SUM(AA12:AL12)</f>
        <v>6000</v>
      </c>
      <c r="AQ12" s="29" t="n">
        <f aca="false">SUM(AN12:AP12)</f>
        <v>18000</v>
      </c>
    </row>
    <row r="13" customFormat="false" ht="15" hidden="false" customHeight="false" outlineLevel="0" collapsed="false">
      <c r="B13" s="3" t="s">
        <v>124</v>
      </c>
      <c r="C13" s="32" t="n">
        <f aca="false">Assumptions!$B$55</f>
        <v>1500</v>
      </c>
      <c r="D13" s="32" t="n">
        <f aca="false">Assumptions!$B$55</f>
        <v>1500</v>
      </c>
      <c r="E13" s="32" t="n">
        <f aca="false">Assumptions!$B$55</f>
        <v>1500</v>
      </c>
      <c r="F13" s="32" t="n">
        <f aca="false">Assumptions!$B$55</f>
        <v>1500</v>
      </c>
      <c r="G13" s="32" t="n">
        <f aca="false">Assumptions!$B$55</f>
        <v>1500</v>
      </c>
      <c r="H13" s="32" t="n">
        <f aca="false">Assumptions!$B$55</f>
        <v>1500</v>
      </c>
      <c r="I13" s="32" t="n">
        <f aca="false">Assumptions!$B$55</f>
        <v>1500</v>
      </c>
      <c r="J13" s="32" t="n">
        <f aca="false">Assumptions!$B$55</f>
        <v>1500</v>
      </c>
      <c r="K13" s="32" t="n">
        <f aca="false">Assumptions!$B$55</f>
        <v>1500</v>
      </c>
      <c r="L13" s="32" t="n">
        <f aca="false">Assumptions!$B$55</f>
        <v>1500</v>
      </c>
      <c r="M13" s="32" t="n">
        <f aca="false">Assumptions!$B$55</f>
        <v>1500</v>
      </c>
      <c r="N13" s="32" t="n">
        <f aca="false">Assumptions!$B$55</f>
        <v>1500</v>
      </c>
      <c r="O13" s="32" t="n">
        <f aca="false">Assumptions!$B$55</f>
        <v>1500</v>
      </c>
      <c r="P13" s="32" t="n">
        <f aca="false">Assumptions!$B$55</f>
        <v>1500</v>
      </c>
      <c r="Q13" s="32" t="n">
        <f aca="false">Assumptions!$B$55</f>
        <v>1500</v>
      </c>
      <c r="R13" s="32" t="n">
        <f aca="false">Assumptions!$B$55</f>
        <v>1500</v>
      </c>
      <c r="S13" s="32" t="n">
        <f aca="false">Assumptions!$B$55</f>
        <v>1500</v>
      </c>
      <c r="T13" s="32" t="n">
        <f aca="false">Assumptions!$B$55</f>
        <v>1500</v>
      </c>
      <c r="U13" s="32" t="n">
        <f aca="false">Assumptions!$B$55</f>
        <v>1500</v>
      </c>
      <c r="V13" s="32" t="n">
        <f aca="false">Assumptions!$B$55</f>
        <v>1500</v>
      </c>
      <c r="W13" s="32" t="n">
        <f aca="false">Assumptions!$B$55</f>
        <v>1500</v>
      </c>
      <c r="X13" s="32" t="n">
        <f aca="false">Assumptions!$B$55</f>
        <v>1500</v>
      </c>
      <c r="Y13" s="32" t="n">
        <f aca="false">Assumptions!$B$55</f>
        <v>1500</v>
      </c>
      <c r="Z13" s="32" t="n">
        <f aca="false">Assumptions!$B$55</f>
        <v>1500</v>
      </c>
      <c r="AA13" s="32" t="n">
        <f aca="false">Assumptions!$B$55</f>
        <v>1500</v>
      </c>
      <c r="AB13" s="32" t="n">
        <f aca="false">Assumptions!$B$55</f>
        <v>1500</v>
      </c>
      <c r="AC13" s="32" t="n">
        <f aca="false">Assumptions!$B$55</f>
        <v>1500</v>
      </c>
      <c r="AD13" s="32" t="n">
        <f aca="false">Assumptions!$B$55</f>
        <v>1500</v>
      </c>
      <c r="AE13" s="32" t="n">
        <f aca="false">Assumptions!$B$55</f>
        <v>1500</v>
      </c>
      <c r="AF13" s="32" t="n">
        <f aca="false">Assumptions!$B$55</f>
        <v>1500</v>
      </c>
      <c r="AG13" s="32" t="n">
        <f aca="false">Assumptions!$B$55</f>
        <v>1500</v>
      </c>
      <c r="AH13" s="32" t="n">
        <f aca="false">Assumptions!$B$55</f>
        <v>1500</v>
      </c>
      <c r="AI13" s="32" t="n">
        <f aca="false">Assumptions!$B$55</f>
        <v>1500</v>
      </c>
      <c r="AJ13" s="32" t="n">
        <f aca="false">Assumptions!$B$55</f>
        <v>1500</v>
      </c>
      <c r="AK13" s="32" t="n">
        <f aca="false">Assumptions!$B$55</f>
        <v>1500</v>
      </c>
      <c r="AL13" s="32" t="n">
        <f aca="false">Assumptions!$B$55</f>
        <v>1500</v>
      </c>
      <c r="AN13" s="29" t="n">
        <f aca="false">SUM(C13:N13)</f>
        <v>18000</v>
      </c>
      <c r="AO13" s="29" t="n">
        <f aca="false">SUM(O13:Z13)</f>
        <v>18000</v>
      </c>
      <c r="AP13" s="29" t="n">
        <f aca="false">SUM(AA13:AL13)</f>
        <v>18000</v>
      </c>
      <c r="AQ13" s="29" t="n">
        <f aca="false">SUM(AN13:AP13)</f>
        <v>54000</v>
      </c>
    </row>
    <row r="14" customFormat="false" ht="15" hidden="false" customHeight="false" outlineLevel="0" collapsed="false">
      <c r="B14" s="3" t="s">
        <v>199</v>
      </c>
      <c r="C14" s="32" t="n">
        <f aca="false">Assumptions!$B$56</f>
        <v>500</v>
      </c>
      <c r="D14" s="32" t="n">
        <f aca="false">Assumptions!$B$56</f>
        <v>500</v>
      </c>
      <c r="E14" s="32" t="n">
        <f aca="false">Assumptions!$B$56</f>
        <v>500</v>
      </c>
      <c r="F14" s="32" t="n">
        <f aca="false">Assumptions!$B$56</f>
        <v>500</v>
      </c>
      <c r="G14" s="32" t="n">
        <f aca="false">Assumptions!$B$56</f>
        <v>500</v>
      </c>
      <c r="H14" s="32" t="n">
        <f aca="false">Assumptions!$B$56</f>
        <v>500</v>
      </c>
      <c r="I14" s="32" t="n">
        <f aca="false">Assumptions!$B$56</f>
        <v>500</v>
      </c>
      <c r="J14" s="32" t="n">
        <f aca="false">Assumptions!$B$56</f>
        <v>500</v>
      </c>
      <c r="K14" s="32" t="n">
        <f aca="false">Assumptions!$B$56</f>
        <v>500</v>
      </c>
      <c r="L14" s="32" t="n">
        <f aca="false">Assumptions!$B$56</f>
        <v>500</v>
      </c>
      <c r="M14" s="32" t="n">
        <f aca="false">Assumptions!$B$56</f>
        <v>500</v>
      </c>
      <c r="N14" s="32" t="n">
        <f aca="false">Assumptions!$B$56</f>
        <v>500</v>
      </c>
      <c r="O14" s="32" t="n">
        <f aca="false">Assumptions!$B$56</f>
        <v>500</v>
      </c>
      <c r="P14" s="32" t="n">
        <f aca="false">Assumptions!$B$56</f>
        <v>500</v>
      </c>
      <c r="Q14" s="32" t="n">
        <f aca="false">Assumptions!$B$56</f>
        <v>500</v>
      </c>
      <c r="R14" s="32" t="n">
        <f aca="false">Assumptions!$B$56</f>
        <v>500</v>
      </c>
      <c r="S14" s="32" t="n">
        <f aca="false">Assumptions!$B$56</f>
        <v>500</v>
      </c>
      <c r="T14" s="32" t="n">
        <f aca="false">Assumptions!$B$56</f>
        <v>500</v>
      </c>
      <c r="U14" s="32" t="n">
        <f aca="false">Assumptions!$B$56</f>
        <v>500</v>
      </c>
      <c r="V14" s="32" t="n">
        <f aca="false">Assumptions!$B$56</f>
        <v>500</v>
      </c>
      <c r="W14" s="32" t="n">
        <f aca="false">Assumptions!$B$56</f>
        <v>500</v>
      </c>
      <c r="X14" s="32" t="n">
        <f aca="false">Assumptions!$B$56</f>
        <v>500</v>
      </c>
      <c r="Y14" s="32" t="n">
        <f aca="false">Assumptions!$B$56</f>
        <v>500</v>
      </c>
      <c r="Z14" s="32" t="n">
        <f aca="false">Assumptions!$B$56</f>
        <v>500</v>
      </c>
      <c r="AA14" s="32" t="n">
        <f aca="false">Assumptions!$B$56</f>
        <v>500</v>
      </c>
      <c r="AB14" s="32" t="n">
        <f aca="false">Assumptions!$B$56</f>
        <v>500</v>
      </c>
      <c r="AC14" s="32" t="n">
        <f aca="false">Assumptions!$B$56</f>
        <v>500</v>
      </c>
      <c r="AD14" s="32" t="n">
        <f aca="false">Assumptions!$B$56</f>
        <v>500</v>
      </c>
      <c r="AE14" s="32" t="n">
        <f aca="false">Assumptions!$B$56</f>
        <v>500</v>
      </c>
      <c r="AF14" s="32" t="n">
        <f aca="false">Assumptions!$B$56</f>
        <v>500</v>
      </c>
      <c r="AG14" s="32" t="n">
        <f aca="false">Assumptions!$B$56</f>
        <v>500</v>
      </c>
      <c r="AH14" s="32" t="n">
        <f aca="false">Assumptions!$B$56</f>
        <v>500</v>
      </c>
      <c r="AI14" s="32" t="n">
        <f aca="false">Assumptions!$B$56</f>
        <v>500</v>
      </c>
      <c r="AJ14" s="32" t="n">
        <f aca="false">Assumptions!$B$56</f>
        <v>500</v>
      </c>
      <c r="AK14" s="32" t="n">
        <f aca="false">Assumptions!$B$56</f>
        <v>500</v>
      </c>
      <c r="AL14" s="32" t="n">
        <f aca="false">Assumptions!$B$56</f>
        <v>500</v>
      </c>
      <c r="AN14" s="29" t="n">
        <f aca="false">SUM(C14:N14)</f>
        <v>6000</v>
      </c>
      <c r="AO14" s="29" t="n">
        <f aca="false">SUM(O14:Z14)</f>
        <v>6000</v>
      </c>
      <c r="AP14" s="29" t="n">
        <f aca="false">SUM(AA14:AL14)</f>
        <v>6000</v>
      </c>
      <c r="AQ14" s="29" t="n">
        <f aca="false">SUM(AN14:AP14)</f>
        <v>18000</v>
      </c>
    </row>
    <row r="15" customFormat="false" ht="15" hidden="false" customHeight="false" outlineLevel="0" collapsed="false">
      <c r="B15" s="2" t="s">
        <v>200</v>
      </c>
      <c r="C15" s="29" t="n">
        <f aca="false">SUM(C11:C14)</f>
        <v>10500</v>
      </c>
      <c r="D15" s="29" t="n">
        <f aca="false">SUM(D11:D14)</f>
        <v>10500</v>
      </c>
      <c r="E15" s="29" t="n">
        <f aca="false">SUM(E11:E14)</f>
        <v>10500</v>
      </c>
      <c r="F15" s="29" t="n">
        <f aca="false">SUM(F11:F14)</f>
        <v>10500</v>
      </c>
      <c r="G15" s="29" t="n">
        <f aca="false">SUM(G11:G14)</f>
        <v>10500</v>
      </c>
      <c r="H15" s="29" t="n">
        <f aca="false">SUM(H11:H14)</f>
        <v>10500</v>
      </c>
      <c r="I15" s="29" t="n">
        <f aca="false">SUM(I11:I14)</f>
        <v>10500</v>
      </c>
      <c r="J15" s="29" t="n">
        <f aca="false">SUM(J11:J14)</f>
        <v>10500</v>
      </c>
      <c r="K15" s="29" t="n">
        <f aca="false">SUM(K11:K14)</f>
        <v>10500</v>
      </c>
      <c r="L15" s="29" t="n">
        <f aca="false">SUM(L11:L14)</f>
        <v>10500</v>
      </c>
      <c r="M15" s="29" t="n">
        <f aca="false">SUM(M11:M14)</f>
        <v>10500</v>
      </c>
      <c r="N15" s="29" t="n">
        <f aca="false">SUM(N11:N14)</f>
        <v>10500</v>
      </c>
      <c r="O15" s="29" t="n">
        <f aca="false">SUM(O11:O14)</f>
        <v>10500</v>
      </c>
      <c r="P15" s="29" t="n">
        <f aca="false">SUM(P11:P14)</f>
        <v>10500</v>
      </c>
      <c r="Q15" s="29" t="n">
        <f aca="false">SUM(Q11:Q14)</f>
        <v>10500</v>
      </c>
      <c r="R15" s="29" t="n">
        <f aca="false">SUM(R11:R14)</f>
        <v>10500</v>
      </c>
      <c r="S15" s="29" t="n">
        <f aca="false">SUM(S11:S14)</f>
        <v>10500</v>
      </c>
      <c r="T15" s="29" t="n">
        <f aca="false">SUM(T11:T14)</f>
        <v>10500</v>
      </c>
      <c r="U15" s="29" t="n">
        <f aca="false">SUM(U11:U14)</f>
        <v>10500</v>
      </c>
      <c r="V15" s="29" t="n">
        <f aca="false">SUM(V11:V14)</f>
        <v>10500</v>
      </c>
      <c r="W15" s="29" t="n">
        <f aca="false">SUM(W11:W14)</f>
        <v>10500</v>
      </c>
      <c r="X15" s="29" t="n">
        <f aca="false">SUM(X11:X14)</f>
        <v>10500</v>
      </c>
      <c r="Y15" s="29" t="n">
        <f aca="false">SUM(Y11:Y14)</f>
        <v>10500</v>
      </c>
      <c r="Z15" s="29" t="n">
        <f aca="false">SUM(Z11:Z14)</f>
        <v>10500</v>
      </c>
      <c r="AA15" s="29" t="n">
        <f aca="false">SUM(AA11:AA14)</f>
        <v>10500</v>
      </c>
      <c r="AB15" s="29" t="n">
        <f aca="false">SUM(AB11:AB14)</f>
        <v>10500</v>
      </c>
      <c r="AC15" s="29" t="n">
        <f aca="false">SUM(AC11:AC14)</f>
        <v>10500</v>
      </c>
      <c r="AD15" s="29" t="n">
        <f aca="false">SUM(AD11:AD14)</f>
        <v>10500</v>
      </c>
      <c r="AE15" s="29" t="n">
        <f aca="false">SUM(AE11:AE14)</f>
        <v>10500</v>
      </c>
      <c r="AF15" s="29" t="n">
        <f aca="false">SUM(AF11:AF14)</f>
        <v>10500</v>
      </c>
      <c r="AG15" s="29" t="n">
        <f aca="false">SUM(AG11:AG14)</f>
        <v>10500</v>
      </c>
      <c r="AH15" s="29" t="n">
        <f aca="false">SUM(AH11:AH14)</f>
        <v>10500</v>
      </c>
      <c r="AI15" s="29" t="n">
        <f aca="false">SUM(AI11:AI14)</f>
        <v>10500</v>
      </c>
      <c r="AJ15" s="29" t="n">
        <f aca="false">SUM(AJ11:AJ14)</f>
        <v>10500</v>
      </c>
      <c r="AK15" s="29" t="n">
        <f aca="false">SUM(AK11:AK14)</f>
        <v>10500</v>
      </c>
      <c r="AL15" s="29" t="n">
        <f aca="false">SUM(AL11:AL14)</f>
        <v>10500</v>
      </c>
      <c r="AN15" s="29" t="n">
        <f aca="false">SUM(C15:N15)</f>
        <v>126000</v>
      </c>
      <c r="AO15" s="29" t="n">
        <f aca="false">SUM(O15:Z15)</f>
        <v>126000</v>
      </c>
      <c r="AP15" s="29" t="n">
        <f aca="false">SUM(AA15:AL15)</f>
        <v>126000</v>
      </c>
      <c r="AQ15" s="29" t="n">
        <f aca="false">SUM(AN15:AP15)</f>
        <v>378000</v>
      </c>
    </row>
    <row r="17" customFormat="false" ht="15" hidden="false" customHeight="false" outlineLevel="0" collapsed="false">
      <c r="B17" s="2" t="s">
        <v>201</v>
      </c>
      <c r="C17" s="29" t="n">
        <f aca="false">C8-C15</f>
        <v>-10210.3714</v>
      </c>
      <c r="D17" s="29" t="n">
        <f aca="false">D8-D15</f>
        <v>-10127.5376276</v>
      </c>
      <c r="E17" s="29" t="n">
        <f aca="false">E8-E15</f>
        <v>-9615.544099732</v>
      </c>
      <c r="F17" s="29" t="n">
        <f aca="false">F8-F15</f>
        <v>-9525.31503782164</v>
      </c>
      <c r="G17" s="29" t="n">
        <f aca="false">G8-G15</f>
        <v>-9428.09786181902</v>
      </c>
      <c r="H17" s="29" t="n">
        <f aca="false">H8-H15</f>
        <v>-9323.05255423936</v>
      </c>
      <c r="I17" s="29" t="n">
        <f aca="false">I8-I15</f>
        <v>-9209.26443797253</v>
      </c>
      <c r="J17" s="29" t="n">
        <f aca="false">J8-J15</f>
        <v>-9085.73606083383</v>
      </c>
      <c r="K17" s="29" t="n">
        <f aca="false">K8-K15</f>
        <v>-8951.37831589073</v>
      </c>
      <c r="L17" s="29" t="n">
        <f aca="false">L8-L15</f>
        <v>-8805.00071757895</v>
      </c>
      <c r="M17" s="29" t="n">
        <f aca="false">M8-M15</f>
        <v>-8645.30074589733</v>
      </c>
      <c r="N17" s="29" t="n">
        <f aca="false">N8-N15</f>
        <v>-8470.85216245253</v>
      </c>
      <c r="O17" s="29" t="n">
        <f aca="false">O8-O15</f>
        <v>-8280.09219273509</v>
      </c>
      <c r="P17" s="29" t="n">
        <f aca="false">P8-P15</f>
        <v>-8071.30745866155</v>
      </c>
      <c r="Q17" s="29" t="n">
        <f aca="false">Q8-Q15</f>
        <v>-7842.61853401891</v>
      </c>
      <c r="R17" s="29" t="n">
        <f aca="false">R8-R15</f>
        <v>-7591.96298289467</v>
      </c>
      <c r="S17" s="29" t="n">
        <f aca="false">S8-S15</f>
        <v>-7317.0767273519</v>
      </c>
      <c r="T17" s="29" t="n">
        <f aca="false">T8-T15</f>
        <v>-7015.47357539106</v>
      </c>
      <c r="U17" s="29" t="n">
        <f aca="false">U8-U15</f>
        <v>-6684.42272348738</v>
      </c>
      <c r="V17" s="29" t="n">
        <f aca="false">V8-V15</f>
        <v>-6320.92402955403</v>
      </c>
      <c r="W17" s="29" t="n">
        <f aca="false">W8-W15</f>
        <v>-5921.68083188836</v>
      </c>
      <c r="X17" s="29" t="n">
        <f aca="false">X8-X15</f>
        <v>-5483.07006732703</v>
      </c>
      <c r="Y17" s="29" t="n">
        <f aca="false">Y8-Y15</f>
        <v>-5001.10941726195</v>
      </c>
      <c r="Z17" s="29" t="n">
        <f aca="false">Z8-Z15</f>
        <v>-4471.4211831306</v>
      </c>
      <c r="AA17" s="29" t="n">
        <f aca="false">AA8-AA15</f>
        <v>-3889.19256324358</v>
      </c>
      <c r="AB17" s="29" t="n">
        <f aca="false">AB8-AB15</f>
        <v>-3249.13197008069</v>
      </c>
      <c r="AC17" s="29" t="n">
        <f aca="false">AC8-AC15</f>
        <v>-2545.42099117501</v>
      </c>
      <c r="AD17" s="29" t="n">
        <f aca="false">AD8-AD15</f>
        <v>-1771.66155708625</v>
      </c>
      <c r="AE17" s="29" t="n">
        <f aca="false">AE8-AE15</f>
        <v>-920.817836378777</v>
      </c>
      <c r="AF17" s="29" t="n">
        <f aca="false">AF8-AF15</f>
        <v>14.847670429177</v>
      </c>
      <c r="AG17" s="29" t="n">
        <f aca="false">AG8-AG15</f>
        <v>1043.84441872737</v>
      </c>
      <c r="AH17" s="29" t="n">
        <f aca="false">AH8-AH15</f>
        <v>2175.53112829626</v>
      </c>
      <c r="AI17" s="29" t="n">
        <f aca="false">AI8-AI15</f>
        <v>3420.20081505461</v>
      </c>
      <c r="AJ17" s="29" t="n">
        <f aca="false">AJ8-AJ15</f>
        <v>4789.17431893738</v>
      </c>
      <c r="AK17" s="29" t="n">
        <f aca="false">AK8-AK15</f>
        <v>6294.9031780158</v>
      </c>
      <c r="AL17" s="29" t="n">
        <f aca="false">AL8-AL15</f>
        <v>7951.082783946</v>
      </c>
      <c r="AN17" s="29" t="n">
        <f aca="false">SUM(C17:N17)</f>
        <v>-111397.451021838</v>
      </c>
      <c r="AO17" s="29" t="n">
        <f aca="false">SUM(O17:Z17)</f>
        <v>-80001.1597237025</v>
      </c>
      <c r="AP17" s="29" t="n">
        <f aca="false">SUM(AA17:AL17)</f>
        <v>13313.3593954423</v>
      </c>
      <c r="AQ17" s="29" t="n">
        <f aca="false">SUM(AN17:AP17)</f>
        <v>-178085.251350098</v>
      </c>
    </row>
    <row r="18" customFormat="false" ht="15" hidden="false" customHeight="false" outlineLevel="0" collapsed="false">
      <c r="B18" s="2" t="s">
        <v>202</v>
      </c>
      <c r="C18" s="29" t="n">
        <f aca="false">C17</f>
        <v>-10210.3714</v>
      </c>
      <c r="D18" s="29" t="n">
        <f aca="false">C18+D17</f>
        <v>-20337.9090276</v>
      </c>
      <c r="E18" s="29" t="n">
        <f aca="false">D18+E17</f>
        <v>-29953.453127332</v>
      </c>
      <c r="F18" s="29" t="n">
        <f aca="false">E18+F17</f>
        <v>-39478.7681651536</v>
      </c>
      <c r="G18" s="29" t="n">
        <f aca="false">F18+G17</f>
        <v>-48906.8660269727</v>
      </c>
      <c r="H18" s="29" t="n">
        <f aca="false">G18+H17</f>
        <v>-58229.918581212</v>
      </c>
      <c r="I18" s="29" t="n">
        <f aca="false">H18+I17</f>
        <v>-67439.1830191846</v>
      </c>
      <c r="J18" s="29" t="n">
        <f aca="false">I18+J17</f>
        <v>-76524.9190800184</v>
      </c>
      <c r="K18" s="29" t="n">
        <f aca="false">J18+K17</f>
        <v>-85476.2973959091</v>
      </c>
      <c r="L18" s="29" t="n">
        <f aca="false">K18+L17</f>
        <v>-94281.2981134881</v>
      </c>
      <c r="M18" s="29" t="n">
        <f aca="false">L18+M17</f>
        <v>-102926.598859385</v>
      </c>
      <c r="N18" s="29" t="n">
        <f aca="false">M18+N17</f>
        <v>-111397.451021838</v>
      </c>
      <c r="O18" s="29" t="n">
        <f aca="false">N18+O17</f>
        <v>-119677.543214573</v>
      </c>
      <c r="P18" s="29" t="n">
        <f aca="false">O18+P17</f>
        <v>-127748.850673235</v>
      </c>
      <c r="Q18" s="29" t="n">
        <f aca="false">P18+Q17</f>
        <v>-135591.469207253</v>
      </c>
      <c r="R18" s="29" t="n">
        <f aca="false">Q18+R17</f>
        <v>-143183.432190148</v>
      </c>
      <c r="S18" s="29" t="n">
        <f aca="false">R18+S17</f>
        <v>-150500.5089175</v>
      </c>
      <c r="T18" s="29" t="n">
        <f aca="false">S18+T17</f>
        <v>-157515.982492891</v>
      </c>
      <c r="U18" s="29" t="n">
        <f aca="false">T18+U17</f>
        <v>-164200.405216378</v>
      </c>
      <c r="V18" s="29" t="n">
        <f aca="false">U18+V17</f>
        <v>-170521.329245933</v>
      </c>
      <c r="W18" s="29" t="n">
        <f aca="false">V18+W17</f>
        <v>-176443.010077821</v>
      </c>
      <c r="X18" s="29" t="n">
        <f aca="false">W18+X17</f>
        <v>-181926.080145148</v>
      </c>
      <c r="Y18" s="29" t="n">
        <f aca="false">X18+Y17</f>
        <v>-186927.18956241</v>
      </c>
      <c r="Z18" s="29" t="n">
        <f aca="false">Y18+Z17</f>
        <v>-191398.61074554</v>
      </c>
      <c r="AA18" s="29" t="n">
        <f aca="false">Z18+AA17</f>
        <v>-195287.803308784</v>
      </c>
      <c r="AB18" s="29" t="n">
        <f aca="false">AA18+AB17</f>
        <v>-198536.935278865</v>
      </c>
      <c r="AC18" s="29" t="n">
        <f aca="false">AB18+AC17</f>
        <v>-201082.35627004</v>
      </c>
      <c r="AD18" s="29" t="n">
        <f aca="false">AC18+AD17</f>
        <v>-202854.017827126</v>
      </c>
      <c r="AE18" s="29" t="n">
        <f aca="false">AD18+AE17</f>
        <v>-203774.835663505</v>
      </c>
      <c r="AF18" s="29" t="n">
        <f aca="false">AE18+AF17</f>
        <v>-203759.987993076</v>
      </c>
      <c r="AG18" s="29" t="n">
        <f aca="false">AF18+AG17</f>
        <v>-202716.143574348</v>
      </c>
      <c r="AH18" s="29" t="n">
        <f aca="false">AG18+AH17</f>
        <v>-200540.612446052</v>
      </c>
      <c r="AI18" s="29" t="n">
        <f aca="false">AH18+AI17</f>
        <v>-197120.411630997</v>
      </c>
      <c r="AJ18" s="29" t="n">
        <f aca="false">AI18+AJ17</f>
        <v>-192331.23731206</v>
      </c>
      <c r="AK18" s="29" t="n">
        <f aca="false">AJ18+AK17</f>
        <v>-186036.334134044</v>
      </c>
      <c r="AL18" s="29" t="n">
        <f aca="false">AK18+AL17</f>
        <v>-178085.251350098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L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8" min="3" style="0" width="10"/>
  </cols>
  <sheetData>
    <row r="1" customFormat="false" ht="16.15" hidden="false" customHeight="false" outlineLevel="0" collapsed="false">
      <c r="B1" s="1" t="s">
        <v>203</v>
      </c>
    </row>
    <row r="3" customFormat="false" ht="15" hidden="false" customHeight="false" outlineLevel="0" collapsed="false">
      <c r="B3" s="2" t="s">
        <v>146</v>
      </c>
      <c r="C3" s="19" t="n">
        <v>1</v>
      </c>
      <c r="D3" s="19" t="n">
        <v>2</v>
      </c>
      <c r="E3" s="19" t="n">
        <v>3</v>
      </c>
      <c r="F3" s="19" t="n">
        <v>4</v>
      </c>
      <c r="G3" s="19" t="n">
        <v>5</v>
      </c>
      <c r="H3" s="19" t="n">
        <v>6</v>
      </c>
      <c r="I3" s="19" t="n">
        <v>7</v>
      </c>
      <c r="J3" s="19" t="n">
        <v>8</v>
      </c>
      <c r="K3" s="19" t="n">
        <v>9</v>
      </c>
      <c r="L3" s="19" t="n">
        <v>10</v>
      </c>
      <c r="M3" s="19" t="n">
        <v>11</v>
      </c>
      <c r="N3" s="19" t="n">
        <v>12</v>
      </c>
      <c r="O3" s="19" t="n">
        <v>13</v>
      </c>
      <c r="P3" s="19" t="n">
        <v>14</v>
      </c>
      <c r="Q3" s="19" t="n">
        <v>15</v>
      </c>
      <c r="R3" s="19" t="n">
        <v>16</v>
      </c>
      <c r="S3" s="19" t="n">
        <v>17</v>
      </c>
      <c r="T3" s="19" t="n">
        <v>18</v>
      </c>
      <c r="U3" s="19" t="n">
        <v>19</v>
      </c>
      <c r="V3" s="19" t="n">
        <v>20</v>
      </c>
      <c r="W3" s="19" t="n">
        <v>21</v>
      </c>
      <c r="X3" s="19" t="n">
        <v>22</v>
      </c>
      <c r="Y3" s="19" t="n">
        <v>23</v>
      </c>
      <c r="Z3" s="19" t="n">
        <v>24</v>
      </c>
      <c r="AA3" s="19" t="n">
        <v>25</v>
      </c>
      <c r="AB3" s="19" t="n">
        <v>26</v>
      </c>
      <c r="AC3" s="19" t="n">
        <v>27</v>
      </c>
      <c r="AD3" s="19" t="n">
        <v>28</v>
      </c>
      <c r="AE3" s="19" t="n">
        <v>29</v>
      </c>
      <c r="AF3" s="19" t="n">
        <v>30</v>
      </c>
      <c r="AG3" s="19" t="n">
        <v>31</v>
      </c>
      <c r="AH3" s="19" t="n">
        <v>32</v>
      </c>
      <c r="AI3" s="19" t="n">
        <v>33</v>
      </c>
      <c r="AJ3" s="19" t="n">
        <v>34</v>
      </c>
      <c r="AK3" s="19" t="n">
        <v>35</v>
      </c>
      <c r="AL3" s="19" t="n">
        <v>36</v>
      </c>
    </row>
    <row r="4" customFormat="false" ht="15" hidden="false" customHeight="false" outlineLevel="0" collapsed="false">
      <c r="B4" s="2" t="s">
        <v>147</v>
      </c>
      <c r="C4" s="20" t="n">
        <f aca="false">Assumptions!$B$5</f>
        <v>46296</v>
      </c>
      <c r="D4" s="21" t="n">
        <f aca="false">EDATE(C4,1)</f>
        <v>46327</v>
      </c>
      <c r="E4" s="21" t="n">
        <f aca="false">EDATE(D4,1)</f>
        <v>46357</v>
      </c>
      <c r="F4" s="21" t="n">
        <f aca="false">EDATE(E4,1)</f>
        <v>46388</v>
      </c>
      <c r="G4" s="21" t="n">
        <f aca="false">EDATE(F4,1)</f>
        <v>46419</v>
      </c>
      <c r="H4" s="21" t="n">
        <f aca="false">EDATE(G4,1)</f>
        <v>46447</v>
      </c>
      <c r="I4" s="21" t="n">
        <f aca="false">EDATE(H4,1)</f>
        <v>46478</v>
      </c>
      <c r="J4" s="21" t="n">
        <f aca="false">EDATE(I4,1)</f>
        <v>46508</v>
      </c>
      <c r="K4" s="21" t="n">
        <f aca="false">EDATE(J4,1)</f>
        <v>46539</v>
      </c>
      <c r="L4" s="21" t="n">
        <f aca="false">EDATE(K4,1)</f>
        <v>46569</v>
      </c>
      <c r="M4" s="21" t="n">
        <f aca="false">EDATE(L4,1)</f>
        <v>46600</v>
      </c>
      <c r="N4" s="21" t="n">
        <f aca="false">EDATE(M4,1)</f>
        <v>46631</v>
      </c>
      <c r="O4" s="21" t="n">
        <f aca="false">EDATE(N4,1)</f>
        <v>46661</v>
      </c>
      <c r="P4" s="21" t="n">
        <f aca="false">EDATE(O4,1)</f>
        <v>46692</v>
      </c>
      <c r="Q4" s="21" t="n">
        <f aca="false">EDATE(P4,1)</f>
        <v>46722</v>
      </c>
      <c r="R4" s="21" t="n">
        <f aca="false">EDATE(Q4,1)</f>
        <v>46753</v>
      </c>
      <c r="S4" s="21" t="n">
        <f aca="false">EDATE(R4,1)</f>
        <v>46784</v>
      </c>
      <c r="T4" s="21" t="n">
        <f aca="false">EDATE(S4,1)</f>
        <v>46813</v>
      </c>
      <c r="U4" s="21" t="n">
        <f aca="false">EDATE(T4,1)</f>
        <v>46844</v>
      </c>
      <c r="V4" s="21" t="n">
        <f aca="false">EDATE(U4,1)</f>
        <v>46874</v>
      </c>
      <c r="W4" s="21" t="n">
        <f aca="false">EDATE(V4,1)</f>
        <v>46905</v>
      </c>
      <c r="X4" s="21" t="n">
        <f aca="false">EDATE(W4,1)</f>
        <v>46935</v>
      </c>
      <c r="Y4" s="21" t="n">
        <f aca="false">EDATE(X4,1)</f>
        <v>46966</v>
      </c>
      <c r="Z4" s="21" t="n">
        <f aca="false">EDATE(Y4,1)</f>
        <v>46997</v>
      </c>
      <c r="AA4" s="21" t="n">
        <f aca="false">EDATE(Z4,1)</f>
        <v>47027</v>
      </c>
      <c r="AB4" s="21" t="n">
        <f aca="false">EDATE(AA4,1)</f>
        <v>47058</v>
      </c>
      <c r="AC4" s="21" t="n">
        <f aca="false">EDATE(AB4,1)</f>
        <v>47088</v>
      </c>
      <c r="AD4" s="21" t="n">
        <f aca="false">EDATE(AC4,1)</f>
        <v>47119</v>
      </c>
      <c r="AE4" s="21" t="n">
        <f aca="false">EDATE(AD4,1)</f>
        <v>47150</v>
      </c>
      <c r="AF4" s="21" t="n">
        <f aca="false">EDATE(AE4,1)</f>
        <v>47178</v>
      </c>
      <c r="AG4" s="21" t="n">
        <f aca="false">EDATE(AF4,1)</f>
        <v>47209</v>
      </c>
      <c r="AH4" s="21" t="n">
        <f aca="false">EDATE(AG4,1)</f>
        <v>47239</v>
      </c>
      <c r="AI4" s="21" t="n">
        <f aca="false">EDATE(AH4,1)</f>
        <v>47270</v>
      </c>
      <c r="AJ4" s="21" t="n">
        <f aca="false">EDATE(AI4,1)</f>
        <v>47300</v>
      </c>
      <c r="AK4" s="21" t="n">
        <f aca="false">EDATE(AJ4,1)</f>
        <v>47331</v>
      </c>
      <c r="AL4" s="21" t="n">
        <f aca="false">EDATE(AK4,1)</f>
        <v>47362</v>
      </c>
    </row>
    <row r="6" customFormat="false" ht="15" hidden="false" customHeight="false" outlineLevel="0" collapsed="false">
      <c r="B6" s="3" t="s">
        <v>204</v>
      </c>
      <c r="C6" s="25" t="n">
        <f aca="false">Funnel!C38</f>
        <v>18.67</v>
      </c>
      <c r="D6" s="25" t="n">
        <f aca="false">Funnel!D38</f>
        <v>26.6779</v>
      </c>
      <c r="E6" s="25" t="n">
        <f aca="false">Funnel!E38</f>
        <v>35.086763</v>
      </c>
      <c r="F6" s="25" t="n">
        <f aca="false">Funnel!F38</f>
        <v>43.96387611</v>
      </c>
      <c r="G6" s="25" t="n">
        <f aca="false">Funnel!G38</f>
        <v>53.3813263467</v>
      </c>
      <c r="H6" s="25" t="n">
        <f aca="false">Funnel!H38</f>
        <v>63.416622404699</v>
      </c>
      <c r="I6" s="25" t="n">
        <f aca="false">Funnel!I38</f>
        <v>74.153367894586</v>
      </c>
      <c r="J6" s="25" t="n">
        <f aca="false">Funnel!J38</f>
        <v>85.6819920196392</v>
      </c>
      <c r="K6" s="25" t="n">
        <f aca="false">Funnel!K38</f>
        <v>98.1005441956133</v>
      </c>
      <c r="L6" s="25" t="n">
        <f aca="false">Funnel!L38</f>
        <v>111.51555970921</v>
      </c>
      <c r="M6" s="25" t="n">
        <f aca="false">Funnel!M38</f>
        <v>126.043004165719</v>
      </c>
      <c r="N6" s="25" t="n">
        <f aca="false">Funnel!N38</f>
        <v>141.80930520101</v>
      </c>
      <c r="O6" s="25" t="n">
        <f aca="false">Funnel!O38</f>
        <v>158.952480734163</v>
      </c>
      <c r="P6" s="25" t="n">
        <f aca="false">Funnel!P38</f>
        <v>177.623373921903</v>
      </c>
      <c r="Q6" s="25" t="n">
        <f aca="false">Funnel!Q38</f>
        <v>197.987005952729</v>
      </c>
      <c r="R6" s="25" t="n">
        <f aca="false">Funnel!R38</f>
        <v>220.2240588961</v>
      </c>
      <c r="S6" s="25" t="n">
        <f aca="false">Funnel!S38</f>
        <v>244.532502010143</v>
      </c>
      <c r="T6" s="25" t="n">
        <f aca="false">Funnel!T38</f>
        <v>271.129376220835</v>
      </c>
      <c r="U6" s="25" t="n">
        <f aca="false">Funnel!U38</f>
        <v>300.252752928521</v>
      </c>
      <c r="V6" s="25" t="n">
        <f aca="false">Funnel!V38</f>
        <v>332.163884887002</v>
      </c>
      <c r="W6" s="25" t="n">
        <f aca="false">Funnel!W38</f>
        <v>367.149568650821</v>
      </c>
      <c r="X6" s="25" t="n">
        <f aca="false">Funnel!X38</f>
        <v>405.524740013689</v>
      </c>
      <c r="Y6" s="25" t="n">
        <f aca="false">Funnel!Y38</f>
        <v>447.635325982764</v>
      </c>
      <c r="Z6" s="25" t="n">
        <f aca="false">Funnel!Z38</f>
        <v>493.861379169069</v>
      </c>
      <c r="AA6" s="25" t="n">
        <f aca="false">Funnel!AA38</f>
        <v>544.620523044912</v>
      </c>
      <c r="AB6" s="25" t="n">
        <f aca="false">Funnel!AB38</f>
        <v>600.3717393482</v>
      </c>
      <c r="AC6" s="25" t="n">
        <f aca="false">Funnel!AC38</f>
        <v>661.619532026701</v>
      </c>
      <c r="AD6" s="25" t="n">
        <f aca="false">Funnel!AD38</f>
        <v>728.918505540922</v>
      </c>
      <c r="AE6" s="25" t="n">
        <f aca="false">Funnel!AE38</f>
        <v>802.878399113581</v>
      </c>
      <c r="AF6" s="25" t="n">
        <f aca="false">Funnel!AF38</f>
        <v>884.16962266077</v>
      </c>
      <c r="AG6" s="25" t="n">
        <f aca="false">Funnel!AG38</f>
        <v>973.529344702724</v>
      </c>
      <c r="AH6" s="25" t="n">
        <f aca="false">Funnel!AH38</f>
        <v>1071.76818757202</v>
      </c>
      <c r="AI6" s="25" t="n">
        <f aca="false">Funnel!AI38</f>
        <v>1179.77759075966</v>
      </c>
      <c r="AJ6" s="25" t="n">
        <f aca="false">Funnel!AJ38</f>
        <v>1298.53790931511</v>
      </c>
      <c r="AK6" s="25" t="n">
        <f aca="false">Funnel!AK38</f>
        <v>1429.12732090032</v>
      </c>
      <c r="AL6" s="25" t="n">
        <f aca="false">Funnel!AL38</f>
        <v>1572.7316224504</v>
      </c>
    </row>
    <row r="7" customFormat="false" ht="15" hidden="false" customHeight="false" outlineLevel="0" collapsed="false">
      <c r="B7" s="3" t="s">
        <v>205</v>
      </c>
      <c r="C7" s="25" t="n">
        <f aca="false">Funnel!C36</f>
        <v>0</v>
      </c>
      <c r="D7" s="25" t="n">
        <f aca="false">Funnel!D36</f>
        <v>0</v>
      </c>
      <c r="E7" s="25" t="n">
        <f aca="false">Funnel!E36</f>
        <v>1</v>
      </c>
      <c r="F7" s="25" t="n">
        <f aca="false">Funnel!F36</f>
        <v>0.99</v>
      </c>
      <c r="G7" s="25" t="n">
        <f aca="false">Funnel!G36</f>
        <v>0.9801</v>
      </c>
      <c r="H7" s="25" t="n">
        <f aca="false">Funnel!H36</f>
        <v>0.970299</v>
      </c>
      <c r="I7" s="25" t="n">
        <f aca="false">Funnel!I36</f>
        <v>0.96059601</v>
      </c>
      <c r="J7" s="25" t="n">
        <f aca="false">Funnel!J36</f>
        <v>0.9509900499</v>
      </c>
      <c r="K7" s="25" t="n">
        <f aca="false">Funnel!K36</f>
        <v>0.941480149401</v>
      </c>
      <c r="L7" s="25" t="n">
        <f aca="false">Funnel!L36</f>
        <v>0.93206534790699</v>
      </c>
      <c r="M7" s="25" t="n">
        <f aca="false">Funnel!M36</f>
        <v>0.92274469442792</v>
      </c>
      <c r="N7" s="25" t="n">
        <f aca="false">Funnel!N36</f>
        <v>0.913517247483641</v>
      </c>
      <c r="O7" s="25" t="n">
        <f aca="false">Funnel!O36</f>
        <v>0.904382075008805</v>
      </c>
      <c r="P7" s="25" t="n">
        <f aca="false">Funnel!P36</f>
        <v>0.895338254258717</v>
      </c>
      <c r="Q7" s="25" t="n">
        <f aca="false">Funnel!Q36</f>
        <v>0.886384871716129</v>
      </c>
      <c r="R7" s="25" t="n">
        <f aca="false">Funnel!R36</f>
        <v>0.877521022998968</v>
      </c>
      <c r="S7" s="25" t="n">
        <f aca="false">Funnel!S36</f>
        <v>0.868745812768978</v>
      </c>
      <c r="T7" s="25" t="n">
        <f aca="false">Funnel!T36</f>
        <v>0.860058354641289</v>
      </c>
      <c r="U7" s="25" t="n">
        <f aca="false">Funnel!U36</f>
        <v>0.851457771094876</v>
      </c>
      <c r="V7" s="25" t="n">
        <f aca="false">Funnel!V36</f>
        <v>0.842943193383927</v>
      </c>
      <c r="W7" s="25" t="n">
        <f aca="false">Funnel!W36</f>
        <v>0.834513761450088</v>
      </c>
      <c r="X7" s="25" t="n">
        <f aca="false">Funnel!X36</f>
        <v>0.826168623835587</v>
      </c>
      <c r="Y7" s="25" t="n">
        <f aca="false">Funnel!Y36</f>
        <v>0.817906937597231</v>
      </c>
      <c r="Z7" s="25" t="n">
        <f aca="false">Funnel!Z36</f>
        <v>0.809727868221259</v>
      </c>
      <c r="AA7" s="25" t="n">
        <f aca="false">Funnel!AA36</f>
        <v>0.801630589539046</v>
      </c>
      <c r="AB7" s="25" t="n">
        <f aca="false">Funnel!AB36</f>
        <v>0.793614283643656</v>
      </c>
      <c r="AC7" s="25" t="n">
        <f aca="false">Funnel!AC36</f>
        <v>0.785678140807219</v>
      </c>
      <c r="AD7" s="25" t="n">
        <f aca="false">Funnel!AD36</f>
        <v>0.777821359399147</v>
      </c>
      <c r="AE7" s="25" t="n">
        <f aca="false">Funnel!AE36</f>
        <v>0.770043145805155</v>
      </c>
      <c r="AF7" s="25" t="n">
        <f aca="false">Funnel!AF36</f>
        <v>0.762342714347104</v>
      </c>
      <c r="AG7" s="25" t="n">
        <f aca="false">Funnel!AG36</f>
        <v>0.754719287203633</v>
      </c>
      <c r="AH7" s="25" t="n">
        <f aca="false">Funnel!AH36</f>
        <v>0.747172094331596</v>
      </c>
      <c r="AI7" s="25" t="n">
        <f aca="false">Funnel!AI36</f>
        <v>0.73970037338828</v>
      </c>
      <c r="AJ7" s="25" t="n">
        <f aca="false">Funnel!AJ36</f>
        <v>0.732303369654398</v>
      </c>
      <c r="AK7" s="25" t="n">
        <f aca="false">Funnel!AK36</f>
        <v>0.724980335957854</v>
      </c>
      <c r="AL7" s="25" t="n">
        <f aca="false">Funnel!AL36</f>
        <v>0.717730532598275</v>
      </c>
    </row>
    <row r="8" customFormat="false" ht="15" hidden="false" customHeight="false" outlineLevel="0" collapsed="false">
      <c r="B8" s="3" t="s">
        <v>174</v>
      </c>
      <c r="C8" s="32" t="n">
        <f aca="false">Revenue!C12</f>
        <v>230.325</v>
      </c>
      <c r="D8" s="32" t="n">
        <f aca="false">Revenue!D12</f>
        <v>362.66805</v>
      </c>
      <c r="E8" s="32" t="n">
        <f aca="false">Revenue!E12</f>
        <v>1002.5352885</v>
      </c>
      <c r="F8" s="32" t="n">
        <f aca="false">Revenue!F12</f>
        <v>1146.010838645</v>
      </c>
      <c r="G8" s="32" t="n">
        <f aca="false">Revenue!G12</f>
        <v>1299.31615586165</v>
      </c>
      <c r="H8" s="32" t="n">
        <f aca="false">Revenue!H12</f>
        <v>1463.71969864172</v>
      </c>
      <c r="I8" s="32" t="n">
        <f aca="false">Revenue!I12</f>
        <v>1640.59851812282</v>
      </c>
      <c r="J8" s="32" t="n">
        <f aca="false">Revenue!J12</f>
        <v>1831.45035549395</v>
      </c>
      <c r="K8" s="32" t="n">
        <f aca="false">Revenue!K12</f>
        <v>2037.90686067359</v>
      </c>
      <c r="L8" s="32" t="n">
        <f aca="false">Revenue!L12</f>
        <v>2261.74805095455</v>
      </c>
      <c r="M8" s="32" t="n">
        <f aca="false">Revenue!M12</f>
        <v>2504.91813967884</v>
      </c>
      <c r="N8" s="32" t="n">
        <f aca="false">Revenue!N12</f>
        <v>2769.54287755068</v>
      </c>
      <c r="O8" s="32" t="n">
        <f aca="false">Revenue!O12</f>
        <v>3057.94856303035</v>
      </c>
      <c r="P8" s="32" t="n">
        <f aca="false">Revenue!P12</f>
        <v>3372.68289350344</v>
      </c>
      <c r="Q8" s="32" t="n">
        <f aca="false">Revenue!Q12</f>
        <v>3716.53784572637</v>
      </c>
      <c r="R8" s="32" t="n">
        <f aca="false">Revenue!R12</f>
        <v>4092.57479256533</v>
      </c>
      <c r="S8" s="32" t="n">
        <f aca="false">Revenue!S12</f>
        <v>4504.1520834381</v>
      </c>
      <c r="T8" s="32" t="n">
        <f aca="false">Revenue!T12</f>
        <v>4954.95533832465</v>
      </c>
      <c r="U8" s="32" t="n">
        <f aca="false">Revenue!U12</f>
        <v>5449.03072993596</v>
      </c>
      <c r="V8" s="32" t="n">
        <f aca="false">Revenue!V12</f>
        <v>5990.82155584651</v>
      </c>
      <c r="W8" s="32" t="n">
        <f aca="false">Revenue!W12</f>
        <v>6585.20843235246</v>
      </c>
      <c r="X8" s="32" t="n">
        <f aca="false">Revenue!X12</f>
        <v>7237.55347478672</v>
      </c>
      <c r="Y8" s="32" t="n">
        <f aca="false">Revenue!Y12</f>
        <v>7953.74886530423</v>
      </c>
      <c r="Z8" s="32" t="n">
        <f aca="false">Revenue!Z12</f>
        <v>8740.27024907556</v>
      </c>
      <c r="AA8" s="32" t="n">
        <f aca="false">Revenue!AA12</f>
        <v>9604.23544375776</v>
      </c>
      <c r="AB8" s="32" t="n">
        <f aca="false">Revenue!AB12</f>
        <v>10553.4689954478</v>
      </c>
      <c r="AC8" s="32" t="n">
        <f aca="false">Revenue!AC12</f>
        <v>11596.5731675052</v>
      </c>
      <c r="AD8" s="32" t="n">
        <f aca="false">Revenue!AD12</f>
        <v>12743.0060071416</v>
      </c>
      <c r="AE8" s="32" t="n">
        <f aca="false">Revenue!AE12</f>
        <v>14003.1671990433</v>
      </c>
      <c r="AF8" s="32" t="n">
        <f aca="false">Revenue!AF12</f>
        <v>15388.4924861143</v>
      </c>
      <c r="AG8" s="32" t="n">
        <f aca="false">Revenue!AG12</f>
        <v>16911.5575153295</v>
      </c>
      <c r="AH8" s="32" t="n">
        <f aca="false">Revenue!AH12</f>
        <v>18586.192052397</v>
      </c>
      <c r="AI8" s="32" t="n">
        <f aca="false">Revenue!AI12</f>
        <v>20427.6056032096</v>
      </c>
      <c r="AJ8" s="32" t="n">
        <f aca="false">Revenue!AJ12</f>
        <v>22452.5255837843</v>
      </c>
      <c r="AK8" s="32" t="n">
        <f aca="false">Revenue!AK12</f>
        <v>24679.3492944825</v>
      </c>
      <c r="AL8" s="32" t="n">
        <f aca="false">Revenue!AL12</f>
        <v>27128.3110798191</v>
      </c>
    </row>
    <row r="9" customFormat="false" ht="15" hidden="false" customHeight="false" outlineLevel="0" collapsed="false">
      <c r="B9" s="3" t="s">
        <v>177</v>
      </c>
      <c r="C9" s="32" t="n">
        <f aca="false">Revenue!C15</f>
        <v>2763.9</v>
      </c>
      <c r="D9" s="32" t="n">
        <f aca="false">Revenue!D15</f>
        <v>4352.0166</v>
      </c>
      <c r="E9" s="32" t="n">
        <f aca="false">Revenue!E15</f>
        <v>12030.423462</v>
      </c>
      <c r="F9" s="32" t="n">
        <f aca="false">Revenue!F15</f>
        <v>13752.13006374</v>
      </c>
      <c r="G9" s="32" t="n">
        <f aca="false">Revenue!G15</f>
        <v>15591.7938703398</v>
      </c>
      <c r="H9" s="32" t="n">
        <f aca="false">Revenue!H15</f>
        <v>17564.6363837007</v>
      </c>
      <c r="I9" s="32" t="n">
        <f aca="false">Revenue!I15</f>
        <v>19687.1822174738</v>
      </c>
      <c r="J9" s="32" t="n">
        <f aca="false">Revenue!J15</f>
        <v>21977.4042659273</v>
      </c>
      <c r="K9" s="32" t="n">
        <f aca="false">Revenue!K15</f>
        <v>24454.8823280831</v>
      </c>
      <c r="L9" s="32" t="n">
        <f aca="false">Revenue!L15</f>
        <v>27140.9766114546</v>
      </c>
      <c r="M9" s="32" t="n">
        <f aca="false">Revenue!M15</f>
        <v>30059.0176761461</v>
      </c>
      <c r="N9" s="32" t="n">
        <f aca="false">Revenue!N15</f>
        <v>33234.5145306081</v>
      </c>
      <c r="O9" s="32" t="n">
        <f aca="false">Revenue!O15</f>
        <v>36695.3827563642</v>
      </c>
      <c r="P9" s="32" t="n">
        <f aca="false">Revenue!P15</f>
        <v>40472.1947220412</v>
      </c>
      <c r="Q9" s="32" t="n">
        <f aca="false">Revenue!Q15</f>
        <v>44598.4541487164</v>
      </c>
      <c r="R9" s="32" t="n">
        <f aca="false">Revenue!R15</f>
        <v>49110.897510784</v>
      </c>
      <c r="S9" s="32" t="n">
        <f aca="false">Revenue!S15</f>
        <v>54049.8250012572</v>
      </c>
      <c r="T9" s="32" t="n">
        <f aca="false">Revenue!T15</f>
        <v>59459.4640598958</v>
      </c>
      <c r="U9" s="32" t="n">
        <f aca="false">Revenue!U15</f>
        <v>65388.3687592315</v>
      </c>
      <c r="V9" s="32" t="n">
        <f aca="false">Revenue!V15</f>
        <v>71889.8586701581</v>
      </c>
      <c r="W9" s="32" t="n">
        <f aca="false">Revenue!W15</f>
        <v>79022.5011882295</v>
      </c>
      <c r="X9" s="32" t="n">
        <f aca="false">Revenue!X15</f>
        <v>86850.6416974406</v>
      </c>
      <c r="Y9" s="32" t="n">
        <f aca="false">Revenue!Y15</f>
        <v>95444.9863836507</v>
      </c>
      <c r="Z9" s="32" t="n">
        <f aca="false">Revenue!Z15</f>
        <v>104883.242988907</v>
      </c>
      <c r="AA9" s="32" t="n">
        <f aca="false">Revenue!AA15</f>
        <v>115250.825325093</v>
      </c>
      <c r="AB9" s="32" t="n">
        <f aca="false">Revenue!AB15</f>
        <v>126641.627945373</v>
      </c>
      <c r="AC9" s="32" t="n">
        <f aca="false">Revenue!AC15</f>
        <v>139158.878010063</v>
      </c>
      <c r="AD9" s="32" t="n">
        <f aca="false">Revenue!AD15</f>
        <v>152916.072085699</v>
      </c>
      <c r="AE9" s="32" t="n">
        <f aca="false">Revenue!AE15</f>
        <v>168038.00638852</v>
      </c>
      <c r="AF9" s="32" t="n">
        <f aca="false">Revenue!AF15</f>
        <v>184661.909833372</v>
      </c>
      <c r="AG9" s="32" t="n">
        <f aca="false">Revenue!AG15</f>
        <v>202938.690183954</v>
      </c>
      <c r="AH9" s="32" t="n">
        <f aca="false">Revenue!AH15</f>
        <v>223034.304628764</v>
      </c>
      <c r="AI9" s="32" t="n">
        <f aca="false">Revenue!AI15</f>
        <v>245131.267238516</v>
      </c>
      <c r="AJ9" s="32" t="n">
        <f aca="false">Revenue!AJ15</f>
        <v>269430.307005411</v>
      </c>
      <c r="AK9" s="32" t="n">
        <f aca="false">Revenue!AK15</f>
        <v>296152.19153379</v>
      </c>
      <c r="AL9" s="32" t="n">
        <f aca="false">Revenue!AL15</f>
        <v>325539.732957829</v>
      </c>
    </row>
    <row r="10" customFormat="false" ht="15" hidden="false" customHeight="false" outlineLevel="0" collapsed="false">
      <c r="B10" s="3" t="s">
        <v>206</v>
      </c>
      <c r="C10" s="12" t="n">
        <f aca="false">IF(Funnel!C38=0,0,Revenue!C10/Funnel!C38)</f>
        <v>12.3366363149438</v>
      </c>
      <c r="D10" s="12" t="n">
        <f aca="false">IF(Funnel!D38=0,0,Revenue!D10/Funnel!D38)</f>
        <v>13.5943252654819</v>
      </c>
      <c r="E10" s="12" t="n">
        <f aca="false">IF(Funnel!E38=0,0,Revenue!E10/Funnel!E38)</f>
        <v>14.3226460788076</v>
      </c>
      <c r="F10" s="12" t="n">
        <f aca="false">IF(Funnel!F38=0,0,Revenue!F10/Funnel!F38)</f>
        <v>14.80785809277</v>
      </c>
      <c r="G10" s="12" t="n">
        <f aca="false">IF(Funnel!G38=0,0,Revenue!G10/Funnel!G38)</f>
        <v>15.1600983198814</v>
      </c>
      <c r="H10" s="12" t="n">
        <f aca="false">IF(Funnel!H38=0,0,Revenue!H10/Funnel!H38)</f>
        <v>15.4308154792112</v>
      </c>
      <c r="I10" s="12" t="n">
        <f aca="false">IF(Funnel!I38=0,0,Revenue!I10/Funnel!I38)</f>
        <v>15.6473070079873</v>
      </c>
      <c r="J10" s="12" t="n">
        <f aca="false">IF(Funnel!J38=0,0,Revenue!J10/Funnel!J38)</f>
        <v>15.8254412459639</v>
      </c>
      <c r="K10" s="12" t="n">
        <f aca="false">IF(Funnel!K38=0,0,Revenue!K10/Funnel!K38)</f>
        <v>15.9751079754272</v>
      </c>
      <c r="L10" s="12" t="n">
        <f aca="false">IF(Funnel!L38=0,0,Revenue!L10/Funnel!L38)</f>
        <v>16.1028235134505</v>
      </c>
      <c r="M10" s="12" t="n">
        <f aca="false">IF(Funnel!M38=0,0,Revenue!M10/Funnel!M38)</f>
        <v>16.2130838279455</v>
      </c>
      <c r="N10" s="12" t="n">
        <f aca="false">IF(Funnel!N38=0,0,Revenue!N10/Funnel!N38)</f>
        <v>16.3091149098472</v>
      </c>
      <c r="O10" s="12" t="n">
        <f aca="false">IF(Funnel!O38=0,0,Revenue!O10/Funnel!O38)</f>
        <v>16.393311469507</v>
      </c>
      <c r="P10" s="12" t="n">
        <f aca="false">IF(Funnel!P38=0,0,Revenue!P10/Funnel!P38)</f>
        <v>16.4675048209597</v>
      </c>
      <c r="Q10" s="12" t="n">
        <f aca="false">IF(Funnel!Q38=0,0,Revenue!Q10/Funnel!Q38)</f>
        <v>16.5331325362324</v>
      </c>
      <c r="R10" s="12" t="n">
        <f aca="false">IF(Funnel!R38=0,0,Revenue!R10/Funnel!R38)</f>
        <v>16.5913492802786</v>
      </c>
      <c r="S10" s="12" t="n">
        <f aca="false">IF(Funnel!S38=0,0,Revenue!S10/Funnel!S38)</f>
        <v>16.6431011975856</v>
      </c>
      <c r="T10" s="12" t="n">
        <f aca="false">IF(Funnel!T38=0,0,Revenue!T10/Funnel!T38)</f>
        <v>16.68917704188</v>
      </c>
      <c r="U10" s="12" t="n">
        <f aca="false">IF(Funnel!U38=0,0,Revenue!U10/Funnel!U38)</f>
        <v>16.7302440873352</v>
      </c>
      <c r="V10" s="12" t="n">
        <f aca="false">IF(Funnel!V38=0,0,Revenue!V10/Funnel!V38)</f>
        <v>16.7668738612242</v>
      </c>
      <c r="W10" s="12" t="n">
        <f aca="false">IF(Funnel!W38=0,0,Revenue!W10/Funnel!W38)</f>
        <v>16.7995609372307</v>
      </c>
      <c r="X10" s="12" t="n">
        <f aca="false">IF(Funnel!X38=0,0,Revenue!X10/Funnel!X38)</f>
        <v>16.8287369166147</v>
      </c>
      <c r="Y10" s="12" t="n">
        <f aca="false">IF(Funnel!Y38=0,0,Revenue!Y10/Funnel!Y38)</f>
        <v>16.8547810205581</v>
      </c>
      <c r="Z10" s="12" t="n">
        <f aca="false">IF(Funnel!Z38=0,0,Revenue!Z10/Funnel!Z38)</f>
        <v>16.8780282616742</v>
      </c>
      <c r="AA10" s="12" t="n">
        <f aca="false">IF(Funnel!AA38=0,0,Revenue!AA10/Funnel!AA38)</f>
        <v>16.8987758623802</v>
      </c>
      <c r="AB10" s="12" t="n">
        <f aca="false">IF(Funnel!AB38=0,0,Revenue!AB10/Funnel!AB38)</f>
        <v>16.9172883864464</v>
      </c>
      <c r="AC10" s="12" t="n">
        <f aca="false">IF(Funnel!AC38=0,0,Revenue!AC10/Funnel!AC38)</f>
        <v>16.9338019129844</v>
      </c>
      <c r="AD10" s="12" t="n">
        <f aca="false">IF(Funnel!AD38=0,0,Revenue!AD10/Funnel!AD38)</f>
        <v>16.9485274876842</v>
      </c>
      <c r="AE10" s="12" t="n">
        <f aca="false">IF(Funnel!AE38=0,0,Revenue!AE10/Funnel!AE38)</f>
        <v>16.9616540203048</v>
      </c>
      <c r="AF10" s="12" t="n">
        <f aca="false">IF(Funnel!AF38=0,0,Revenue!AF10/Funnel!AF38)</f>
        <v>16.9733507511586</v>
      </c>
      <c r="AG10" s="12" t="n">
        <f aca="false">IF(Funnel!AG38=0,0,Revenue!AG10/Funnel!AG38)</f>
        <v>16.9837693765426</v>
      </c>
      <c r="AH10" s="12" t="n">
        <f aca="false">IF(Funnel!AH38=0,0,Revenue!AH10/Funnel!AH38)</f>
        <v>16.9930458996828</v>
      </c>
      <c r="AI10" s="12" t="n">
        <f aca="false">IF(Funnel!AI38=0,0,Revenue!AI10/Funnel!AI38)</f>
        <v>17.0013022569791</v>
      </c>
      <c r="AJ10" s="12" t="n">
        <f aca="false">IF(Funnel!AJ38=0,0,Revenue!AJ10/Funnel!AJ38)</f>
        <v>17.008647757235</v>
      </c>
      <c r="AK10" s="12" t="n">
        <f aca="false">IF(Funnel!AK38=0,0,Revenue!AK10/Funnel!AK38)</f>
        <v>17.0151803627856</v>
      </c>
      <c r="AL10" s="12" t="n">
        <f aca="false">IF(Funnel!AL38=0,0,Revenue!AL10/Funnel!AL38)</f>
        <v>17.0209878350457</v>
      </c>
    </row>
    <row r="11" customFormat="false" ht="15" hidden="false" customHeight="false" outlineLevel="0" collapsed="false">
      <c r="B11" s="3" t="s">
        <v>207</v>
      </c>
      <c r="C11" s="24" t="n">
        <f aca="false">Funnel!C8+Funnel!C12</f>
        <v>10</v>
      </c>
      <c r="D11" s="24" t="n">
        <f aca="false">Funnel!D8+Funnel!D12</f>
        <v>11</v>
      </c>
      <c r="E11" s="24" t="n">
        <f aca="false">Funnel!E8+Funnel!E12</f>
        <v>12.1</v>
      </c>
      <c r="F11" s="24" t="n">
        <f aca="false">Funnel!F8+Funnel!F12</f>
        <v>13.31</v>
      </c>
      <c r="G11" s="24" t="n">
        <f aca="false">Funnel!G8+Funnel!G12</f>
        <v>14.641</v>
      </c>
      <c r="H11" s="24" t="n">
        <f aca="false">Funnel!H8+Funnel!H12</f>
        <v>16.1051</v>
      </c>
      <c r="I11" s="24" t="n">
        <f aca="false">Funnel!I8+Funnel!I12</f>
        <v>17.71561</v>
      </c>
      <c r="J11" s="24" t="n">
        <f aca="false">Funnel!J8+Funnel!J12</f>
        <v>19.487171</v>
      </c>
      <c r="K11" s="24" t="n">
        <f aca="false">Funnel!K8+Funnel!K12</f>
        <v>21.4358881</v>
      </c>
      <c r="L11" s="24" t="n">
        <f aca="false">Funnel!L8+Funnel!L12</f>
        <v>23.57947691</v>
      </c>
      <c r="M11" s="24" t="n">
        <f aca="false">Funnel!M8+Funnel!M12</f>
        <v>25.937424601</v>
      </c>
      <c r="N11" s="24" t="n">
        <f aca="false">Funnel!N8+Funnel!N12</f>
        <v>28.5311670611</v>
      </c>
      <c r="O11" s="24" t="n">
        <f aca="false">Funnel!O8+Funnel!O12</f>
        <v>31.38428376721</v>
      </c>
      <c r="P11" s="24" t="n">
        <f aca="false">Funnel!P8+Funnel!P12</f>
        <v>34.522712143931</v>
      </c>
      <c r="Q11" s="24" t="n">
        <f aca="false">Funnel!Q8+Funnel!Q12</f>
        <v>37.9749833583241</v>
      </c>
      <c r="R11" s="24" t="n">
        <f aca="false">Funnel!R8+Funnel!R12</f>
        <v>41.7724816941565</v>
      </c>
      <c r="S11" s="24" t="n">
        <f aca="false">Funnel!S8+Funnel!S12</f>
        <v>45.9497298635722</v>
      </c>
      <c r="T11" s="24" t="n">
        <f aca="false">Funnel!T8+Funnel!T12</f>
        <v>50.5447028499294</v>
      </c>
      <c r="U11" s="24" t="n">
        <f aca="false">Funnel!U8+Funnel!U12</f>
        <v>55.5991731349224</v>
      </c>
      <c r="V11" s="24" t="n">
        <f aca="false">Funnel!V8+Funnel!V12</f>
        <v>61.1590904484146</v>
      </c>
      <c r="W11" s="24" t="n">
        <f aca="false">Funnel!W8+Funnel!W12</f>
        <v>67.2749994932561</v>
      </c>
      <c r="X11" s="24" t="n">
        <f aca="false">Funnel!X8+Funnel!X12</f>
        <v>74.0024994425817</v>
      </c>
      <c r="Y11" s="24" t="n">
        <f aca="false">Funnel!Y8+Funnel!Y12</f>
        <v>81.4027493868399</v>
      </c>
      <c r="Z11" s="24" t="n">
        <f aca="false">Funnel!Z8+Funnel!Z12</f>
        <v>89.5430243255239</v>
      </c>
      <c r="AA11" s="24" t="n">
        <f aca="false">Funnel!AA8+Funnel!AA12</f>
        <v>98.4973267580763</v>
      </c>
      <c r="AB11" s="24" t="n">
        <f aca="false">Funnel!AB8+Funnel!AB12</f>
        <v>108.347059433884</v>
      </c>
      <c r="AC11" s="24" t="n">
        <f aca="false">Funnel!AC8+Funnel!AC12</f>
        <v>119.181765377272</v>
      </c>
      <c r="AD11" s="24" t="n">
        <f aca="false">Funnel!AD8+Funnel!AD12</f>
        <v>131.099941915</v>
      </c>
      <c r="AE11" s="24" t="n">
        <f aca="false">Funnel!AE8+Funnel!AE12</f>
        <v>144.209936106499</v>
      </c>
      <c r="AF11" s="24" t="n">
        <f aca="false">Funnel!AF8+Funnel!AF12</f>
        <v>158.630929717149</v>
      </c>
      <c r="AG11" s="24" t="n">
        <f aca="false">Funnel!AG8+Funnel!AG12</f>
        <v>174.494022688864</v>
      </c>
      <c r="AH11" s="24" t="n">
        <f aca="false">Funnel!AH8+Funnel!AH12</f>
        <v>191.943424957751</v>
      </c>
      <c r="AI11" s="24" t="n">
        <f aca="false">Funnel!AI8+Funnel!AI12</f>
        <v>211.137767453526</v>
      </c>
      <c r="AJ11" s="24" t="n">
        <f aca="false">Funnel!AJ8+Funnel!AJ12</f>
        <v>232.251544198879</v>
      </c>
      <c r="AK11" s="24" t="n">
        <f aca="false">Funnel!AK8+Funnel!AK12</f>
        <v>255.476698618766</v>
      </c>
      <c r="AL11" s="24" t="n">
        <f aca="false">Funnel!AL8+Funnel!AL12</f>
        <v>281.024368480643</v>
      </c>
    </row>
    <row r="12" customFormat="false" ht="15" hidden="false" customHeight="false" outlineLevel="0" collapsed="false">
      <c r="B12" s="3" t="s">
        <v>208</v>
      </c>
      <c r="C12" s="12" t="n">
        <f aca="false">IF(C11=0,0,Assumptions!$B$55/C11)</f>
        <v>150</v>
      </c>
      <c r="D12" s="12" t="n">
        <f aca="false">IF(D11=0,0,Assumptions!$B$55/D11)</f>
        <v>136.363636363636</v>
      </c>
      <c r="E12" s="12" t="n">
        <f aca="false">IF(E11=0,0,Assumptions!$B$55/E11)</f>
        <v>123.96694214876</v>
      </c>
      <c r="F12" s="12" t="n">
        <f aca="false">IF(F11=0,0,Assumptions!$B$55/F11)</f>
        <v>112.697220135237</v>
      </c>
      <c r="G12" s="12" t="n">
        <f aca="false">IF(G11=0,0,Assumptions!$B$55/G11)</f>
        <v>102.452018304761</v>
      </c>
      <c r="H12" s="12" t="n">
        <f aca="false">IF(H11=0,0,Assumptions!$B$55/H11)</f>
        <v>93.1381984588732</v>
      </c>
      <c r="I12" s="12" t="n">
        <f aca="false">IF(I11=0,0,Assumptions!$B$55/I11)</f>
        <v>84.6710895080666</v>
      </c>
      <c r="J12" s="12" t="n">
        <f aca="false">IF(J11=0,0,Assumptions!$B$55/J11)</f>
        <v>76.973717734606</v>
      </c>
      <c r="K12" s="12" t="n">
        <f aca="false">IF(K11=0,0,Assumptions!$B$55/K11)</f>
        <v>69.97610703146</v>
      </c>
      <c r="L12" s="12" t="n">
        <f aca="false">IF(L11=0,0,Assumptions!$B$55/L11)</f>
        <v>63.6146427558727</v>
      </c>
      <c r="M12" s="12" t="n">
        <f aca="false">IF(M11=0,0,Assumptions!$B$55/M11)</f>
        <v>57.8314934144297</v>
      </c>
      <c r="N12" s="12" t="n">
        <f aca="false">IF(N11=0,0,Assumptions!$B$55/N11)</f>
        <v>52.5740849222089</v>
      </c>
      <c r="O12" s="12" t="n">
        <f aca="false">IF(O11=0,0,Assumptions!$B$55/O11)</f>
        <v>47.7946226565535</v>
      </c>
      <c r="P12" s="12" t="n">
        <f aca="false">IF(P11=0,0,Assumptions!$B$55/P11)</f>
        <v>43.4496569605032</v>
      </c>
      <c r="Q12" s="12" t="n">
        <f aca="false">IF(Q11=0,0,Assumptions!$B$55/Q11)</f>
        <v>39.499688145912</v>
      </c>
      <c r="R12" s="12" t="n">
        <f aca="false">IF(R11=0,0,Assumptions!$B$55/R11)</f>
        <v>35.9088074053745</v>
      </c>
      <c r="S12" s="12" t="n">
        <f aca="false">IF(S11=0,0,Assumptions!$B$55/S11)</f>
        <v>32.6443703685223</v>
      </c>
      <c r="T12" s="12" t="n">
        <f aca="false">IF(T11=0,0,Assumptions!$B$55/T11)</f>
        <v>29.6767003350203</v>
      </c>
      <c r="U12" s="12" t="n">
        <f aca="false">IF(U11=0,0,Assumptions!$B$55/U11)</f>
        <v>26.978818486382</v>
      </c>
      <c r="V12" s="12" t="n">
        <f aca="false">IF(V11=0,0,Assumptions!$B$55/V11)</f>
        <v>24.5261986239837</v>
      </c>
      <c r="W12" s="12" t="n">
        <f aca="false">IF(W11=0,0,Assumptions!$B$55/W11)</f>
        <v>22.2965442036215</v>
      </c>
      <c r="X12" s="12" t="n">
        <f aca="false">IF(X11=0,0,Assumptions!$B$55/X11)</f>
        <v>20.2695856396559</v>
      </c>
      <c r="Y12" s="12" t="n">
        <f aca="false">IF(Y11=0,0,Assumptions!$B$55/Y11)</f>
        <v>18.4268960360508</v>
      </c>
      <c r="Z12" s="12" t="n">
        <f aca="false">IF(Z11=0,0,Assumptions!$B$55/Z11)</f>
        <v>16.7517236691371</v>
      </c>
      <c r="AA12" s="12" t="n">
        <f aca="false">IF(AA11=0,0,Assumptions!$B$55/AA11)</f>
        <v>15.2288396992156</v>
      </c>
      <c r="AB12" s="12" t="n">
        <f aca="false">IF(AB11=0,0,Assumptions!$B$55/AB11)</f>
        <v>13.8443997265596</v>
      </c>
      <c r="AC12" s="12" t="n">
        <f aca="false">IF(AC11=0,0,Assumptions!$B$55/AC11)</f>
        <v>12.585817933236</v>
      </c>
      <c r="AD12" s="12" t="n">
        <f aca="false">IF(AD11=0,0,Assumptions!$B$55/AD11)</f>
        <v>11.4416526665782</v>
      </c>
      <c r="AE12" s="12" t="n">
        <f aca="false">IF(AE11=0,0,Assumptions!$B$55/AE11)</f>
        <v>10.401502424162</v>
      </c>
      <c r="AF12" s="12" t="n">
        <f aca="false">IF(AF11=0,0,Assumptions!$B$55/AF11)</f>
        <v>9.45591129469272</v>
      </c>
      <c r="AG12" s="12" t="n">
        <f aca="false">IF(AG11=0,0,Assumptions!$B$55/AG11)</f>
        <v>8.5962829951752</v>
      </c>
      <c r="AH12" s="12" t="n">
        <f aca="false">IF(AH11=0,0,Assumptions!$B$55/AH11)</f>
        <v>7.81480272288654</v>
      </c>
      <c r="AI12" s="12" t="n">
        <f aca="false">IF(AI11=0,0,Assumptions!$B$55/AI11)</f>
        <v>7.10436611171504</v>
      </c>
      <c r="AJ12" s="12" t="n">
        <f aca="false">IF(AJ11=0,0,Assumptions!$B$55/AJ11)</f>
        <v>6.45851464701367</v>
      </c>
      <c r="AK12" s="12" t="n">
        <f aca="false">IF(AK11=0,0,Assumptions!$B$55/AK11)</f>
        <v>5.87137695183061</v>
      </c>
      <c r="AL12" s="12" t="n">
        <f aca="false">IF(AL11=0,0,Assumptions!$B$55/AL11)</f>
        <v>5.3376154107551</v>
      </c>
    </row>
    <row r="13" customFormat="false" ht="15" hidden="false" customHeight="false" outlineLevel="0" collapsed="false">
      <c r="B13" s="3" t="s">
        <v>209</v>
      </c>
      <c r="C13" s="33" t="n">
        <f aca="false">IF((Funnel!C14+Funnel!C19+Funnel!C24+Funnel!C29)=0,0,(Funnel!C16+Funnel!C21+Funnel!C26+Funnel!C30)/(Funnel!C14+Funnel!C19+Funnel!C24+Funnel!C29))</f>
        <v>0.03</v>
      </c>
      <c r="D13" s="33" t="n">
        <f aca="false">IF((Funnel!D14+Funnel!D19+Funnel!D24+Funnel!D29)=0,0,(Funnel!D16+Funnel!D21+Funnel!D26+Funnel!D30)/(Funnel!D14+Funnel!D19+Funnel!D24+Funnel!D29))</f>
        <v>0.0424263524370648</v>
      </c>
      <c r="E13" s="33" t="n">
        <f aca="false">IF((Funnel!E14+Funnel!E19+Funnel!E24+Funnel!E29)=0,0,(Funnel!E16+Funnel!E21+Funnel!E26+Funnel!E30)/(Funnel!E14+Funnel!E19+Funnel!E24+Funnel!E29))</f>
        <v>0.0476475659628382</v>
      </c>
      <c r="F13" s="33" t="n">
        <f aca="false">IF((Funnel!F14+Funnel!F19+Funnel!F24+Funnel!F29)=0,0,(Funnel!F16+Funnel!F21+Funnel!F26+Funnel!F30)/(Funnel!F14+Funnel!F19+Funnel!F24+Funnel!F29))</f>
        <v>0.0504716519446379</v>
      </c>
      <c r="G13" s="33" t="n">
        <f aca="false">IF((Funnel!G14+Funnel!G19+Funnel!G24+Funnel!G29)=0,0,(Funnel!G16+Funnel!G21+Funnel!G26+Funnel!G30)/(Funnel!G14+Funnel!G19+Funnel!G24+Funnel!G29))</f>
        <v>0.0522099042758857</v>
      </c>
      <c r="H13" s="33" t="n">
        <f aca="false">IF((Funnel!H14+Funnel!H19+Funnel!H24+Funnel!H29)=0,0,(Funnel!H16+Funnel!H21+Funnel!H26+Funnel!H30)/(Funnel!H14+Funnel!H19+Funnel!H24+Funnel!H29))</f>
        <v>0.0533666758952142</v>
      </c>
      <c r="I13" s="33" t="n">
        <f aca="false">IF((Funnel!I14+Funnel!I19+Funnel!I24+Funnel!I29)=0,0,(Funnel!I16+Funnel!I21+Funnel!I26+Funnel!I30)/(Funnel!I14+Funnel!I19+Funnel!I24+Funnel!I29))</f>
        <v>0.0541773178676635</v>
      </c>
      <c r="J13" s="33" t="n">
        <f aca="false">IF((Funnel!J14+Funnel!J19+Funnel!J24+Funnel!J29)=0,0,(Funnel!J16+Funnel!J21+Funnel!J26+Funnel!J30)/(Funnel!J14+Funnel!J19+Funnel!J24+Funnel!J29))</f>
        <v>0.0547663955158445</v>
      </c>
      <c r="K13" s="33" t="n">
        <f aca="false">IF((Funnel!K14+Funnel!K19+Funnel!K24+Funnel!K29)=0,0,(Funnel!K16+Funnel!K21+Funnel!K26+Funnel!K30)/(Funnel!K14+Funnel!K19+Funnel!K24+Funnel!K29))</f>
        <v>0.0552059796058631</v>
      </c>
      <c r="L13" s="33" t="n">
        <f aca="false">IF((Funnel!L14+Funnel!L19+Funnel!L24+Funnel!L29)=0,0,(Funnel!L16+Funnel!L21+Funnel!L26+Funnel!L30)/(Funnel!L14+Funnel!L19+Funnel!L24+Funnel!L29))</f>
        <v>0.0555406298617382</v>
      </c>
      <c r="M13" s="33" t="n">
        <f aca="false">IF((Funnel!M14+Funnel!M19+Funnel!M24+Funnel!M29)=0,0,(Funnel!M16+Funnel!M21+Funnel!M26+Funnel!M30)/(Funnel!M14+Funnel!M19+Funnel!M24+Funnel!M29))</f>
        <v>0.0557993453157299</v>
      </c>
      <c r="N13" s="33" t="n">
        <f aca="false">IF((Funnel!N14+Funnel!N19+Funnel!N24+Funnel!N29)=0,0,(Funnel!N16+Funnel!N21+Funnel!N26+Funnel!N30)/(Funnel!N14+Funnel!N19+Funnel!N24+Funnel!N29))</f>
        <v>0.056001780188516</v>
      </c>
      <c r="O13" s="33" t="n">
        <f aca="false">IF((Funnel!O14+Funnel!O19+Funnel!O24+Funnel!O29)=0,0,(Funnel!O16+Funnel!O21+Funnel!O26+Funnel!O30)/(Funnel!O14+Funnel!O19+Funnel!O24+Funnel!O29))</f>
        <v>0.0561616987638844</v>
      </c>
      <c r="P13" s="33" t="n">
        <f aca="false">IF((Funnel!P14+Funnel!P19+Funnel!P24+Funnel!P29)=0,0,(Funnel!P16+Funnel!P21+Funnel!P26+Funnel!P30)/(Funnel!P14+Funnel!P19+Funnel!P24+Funnel!P29))</f>
        <v>0.056289002134972</v>
      </c>
      <c r="Q13" s="33" t="n">
        <f aca="false">IF((Funnel!Q14+Funnel!Q19+Funnel!Q24+Funnel!Q29)=0,0,(Funnel!Q16+Funnel!Q21+Funnel!Q26+Funnel!Q30)/(Funnel!Q14+Funnel!Q19+Funnel!Q24+Funnel!Q29))</f>
        <v>0.0563909717210835</v>
      </c>
      <c r="R13" s="33" t="n">
        <f aca="false">IF((Funnel!R14+Funnel!R19+Funnel!R24+Funnel!R29)=0,0,(Funnel!R16+Funnel!R21+Funnel!R26+Funnel!R30)/(Funnel!R14+Funnel!R19+Funnel!R24+Funnel!R29))</f>
        <v>0.0564730617453931</v>
      </c>
      <c r="S13" s="33" t="n">
        <f aca="false">IF((Funnel!S14+Funnel!S19+Funnel!S24+Funnel!S29)=0,0,(Funnel!S16+Funnel!S21+Funnel!S26+Funnel!S30)/(Funnel!S14+Funnel!S19+Funnel!S24+Funnel!S29))</f>
        <v>0.056539420984378</v>
      </c>
      <c r="T13" s="33" t="n">
        <f aca="false">IF((Funnel!T14+Funnel!T19+Funnel!T24+Funnel!T29)=0,0,(Funnel!T16+Funnel!T21+Funnel!T26+Funnel!T30)/(Funnel!T14+Funnel!T19+Funnel!T24+Funnel!T29))</f>
        <v>0.0565932461144883</v>
      </c>
      <c r="U13" s="33" t="n">
        <f aca="false">IF((Funnel!U14+Funnel!U19+Funnel!U24+Funnel!U29)=0,0,(Funnel!U16+Funnel!U21+Funnel!U26+Funnel!U30)/(Funnel!U14+Funnel!U19+Funnel!U24+Funnel!U29))</f>
        <v>0.0566370269953495</v>
      </c>
      <c r="V13" s="33" t="n">
        <f aca="false">IF((Funnel!V14+Funnel!V19+Funnel!V24+Funnel!V29)=0,0,(Funnel!V16+Funnel!V21+Funnel!V26+Funnel!V30)/(Funnel!V14+Funnel!V19+Funnel!V24+Funnel!V29))</f>
        <v>0.0566727206804387</v>
      </c>
      <c r="W13" s="33" t="n">
        <f aca="false">IF((Funnel!W14+Funnel!W19+Funnel!W24+Funnel!W29)=0,0,(Funnel!W16+Funnel!W21+Funnel!W26+Funnel!W30)/(Funnel!W14+Funnel!W19+Funnel!W24+Funnel!W29))</f>
        <v>0.0567018772591526</v>
      </c>
      <c r="X13" s="33" t="n">
        <f aca="false">IF((Funnel!X14+Funnel!X19+Funnel!X24+Funnel!X29)=0,0,(Funnel!X16+Funnel!X21+Funnel!X26+Funnel!X30)/(Funnel!X14+Funnel!X19+Funnel!X24+Funnel!X29))</f>
        <v>0.0567257324248831</v>
      </c>
      <c r="Y13" s="33" t="n">
        <f aca="false">IF((Funnel!Y14+Funnel!Y19+Funnel!Y24+Funnel!Y29)=0,0,(Funnel!Y16+Funnel!Y21+Funnel!Y26+Funnel!Y30)/(Funnel!Y14+Funnel!Y19+Funnel!Y24+Funnel!Y29))</f>
        <v>0.0567452766004358</v>
      </c>
      <c r="Z13" s="33" t="n">
        <f aca="false">IF((Funnel!Z14+Funnel!Z19+Funnel!Z24+Funnel!Z29)=0,0,(Funnel!Z16+Funnel!Z21+Funnel!Z26+Funnel!Z30)/(Funnel!Z14+Funnel!Z19+Funnel!Z24+Funnel!Z29))</f>
        <v>0.0567613072501173</v>
      </c>
      <c r="AA13" s="33" t="n">
        <f aca="false">IF((Funnel!AA14+Funnel!AA19+Funnel!AA24+Funnel!AA29)=0,0,(Funnel!AA16+Funnel!AA21+Funnel!AA26+Funnel!AA30)/(Funnel!AA14+Funnel!AA19+Funnel!AA24+Funnel!AA29))</f>
        <v>0.0567744689365953</v>
      </c>
      <c r="AB13" s="33" t="n">
        <f aca="false">IF((Funnel!AB14+Funnel!AB19+Funnel!AB24+Funnel!AB29)=0,0,(Funnel!AB16+Funnel!AB21+Funnel!AB26+Funnel!AB30)/(Funnel!AB14+Funnel!AB19+Funnel!AB24+Funnel!AB29))</f>
        <v>0.0567852843130338</v>
      </c>
      <c r="AC13" s="33" t="n">
        <f aca="false">IF((Funnel!AC14+Funnel!AC19+Funnel!AC24+Funnel!AC29)=0,0,(Funnel!AC16+Funnel!AC21+Funnel!AC26+Funnel!AC30)/(Funnel!AC14+Funnel!AC19+Funnel!AC24+Funnel!AC29))</f>
        <v>0.0567941783208114</v>
      </c>
      <c r="AD13" s="33" t="n">
        <f aca="false">IF((Funnel!AD14+Funnel!AD19+Funnel!AD24+Funnel!AD29)=0,0,(Funnel!AD16+Funnel!AD21+Funnel!AD26+Funnel!AD30)/(Funnel!AD14+Funnel!AD19+Funnel!AD24+Funnel!AD29))</f>
        <v>0.0568014972330982</v>
      </c>
      <c r="AE13" s="33" t="n">
        <f aca="false">IF((Funnel!AE14+Funnel!AE19+Funnel!AE24+Funnel!AE29)=0,0,(Funnel!AE16+Funnel!AE21+Funnel!AE26+Funnel!AE30)/(Funnel!AE14+Funnel!AE19+Funnel!AE24+Funnel!AE29))</f>
        <v>0.056807523746172</v>
      </c>
      <c r="AF13" s="33" t="n">
        <f aca="false">IF((Funnel!AF14+Funnel!AF19+Funnel!AF24+Funnel!AF29)=0,0,(Funnel!AF16+Funnel!AF21+Funnel!AF26+Funnel!AF30)/(Funnel!AF14+Funnel!AF19+Funnel!AF24+Funnel!AF29))</f>
        <v>0.0568124890106535</v>
      </c>
      <c r="AG13" s="33" t="n">
        <f aca="false">IF((Funnel!AG14+Funnel!AG19+Funnel!AG24+Funnel!AG29)=0,0,(Funnel!AG16+Funnel!AG21+Funnel!AG26+Funnel!AG30)/(Funnel!AG14+Funnel!AG19+Funnel!AG24+Funnel!AG29))</f>
        <v>0.0568165822729371</v>
      </c>
      <c r="AH13" s="33" t="n">
        <f aca="false">IF((Funnel!AH14+Funnel!AH19+Funnel!AH24+Funnel!AH29)=0,0,(Funnel!AH16+Funnel!AH21+Funnel!AH26+Funnel!AH30)/(Funnel!AH14+Funnel!AH19+Funnel!AH24+Funnel!AH29))</f>
        <v>0.0568199586359618</v>
      </c>
      <c r="AI13" s="33" t="n">
        <f aca="false">IF((Funnel!AI14+Funnel!AI19+Funnel!AI24+Funnel!AI29)=0,0,(Funnel!AI16+Funnel!AI21+Funnel!AI26+Funnel!AI30)/(Funnel!AI14+Funnel!AI19+Funnel!AI24+Funnel!AI29))</f>
        <v>0.0568227453299855</v>
      </c>
      <c r="AJ13" s="33" t="n">
        <f aca="false">IF((Funnel!AJ14+Funnel!AJ19+Funnel!AJ24+Funnel!AJ29)=0,0,(Funnel!AJ16+Funnel!AJ21+Funnel!AJ26+Funnel!AJ30)/(Funnel!AJ14+Funnel!AJ19+Funnel!AJ24+Funnel!AJ29))</f>
        <v>0.0568250467958824</v>
      </c>
      <c r="AK13" s="33" t="n">
        <f aca="false">IF((Funnel!AK14+Funnel!AK19+Funnel!AK24+Funnel!AK29)=0,0,(Funnel!AK16+Funnel!AK21+Funnel!AK26+Funnel!AK30)/(Funnel!AK14+Funnel!AK19+Funnel!AK24+Funnel!AK29))</f>
        <v>0.0568269488171653</v>
      </c>
      <c r="AL13" s="33" t="n">
        <f aca="false">IF((Funnel!AL14+Funnel!AL19+Funnel!AL24+Funnel!AL29)=0,0,(Funnel!AL16+Funnel!AL21+Funnel!AL26+Funnel!AL30)/(Funnel!AL14+Funnel!AL19+Funnel!AL24+Funnel!AL29))</f>
        <v>0.0568285218865438</v>
      </c>
    </row>
    <row r="14" customFormat="false" ht="15" hidden="false" customHeight="false" outlineLevel="0" collapsed="false">
      <c r="B14" s="3" t="s">
        <v>210</v>
      </c>
      <c r="C14" s="28" t="n">
        <f aca="false">IF(C13=0,0,C10*COGS!C18/C13)</f>
        <v>254.313614449106</v>
      </c>
      <c r="D14" s="28" t="n">
        <f aca="false">IF(D13=0,0,D10*COGS!D18/D13)</f>
        <v>191.1147222023</v>
      </c>
      <c r="E14" s="28" t="n">
        <f aca="false">IF(E13=0,0,E10*COGS!E18/E13)</f>
        <v>206.013447585794</v>
      </c>
      <c r="F14" s="28" t="n">
        <f aca="false">IF(F13=0,0,F10*COGS!F18/F13)</f>
        <v>195.491262822164</v>
      </c>
      <c r="G14" s="28" t="n">
        <f aca="false">IF(G13=0,0,G10*COGS!G18/G13)</f>
        <v>188.889210345412</v>
      </c>
      <c r="H14" s="28" t="n">
        <f aca="false">IF(H13=0,0,H10*COGS!H18/H13)</f>
        <v>184.24849313999</v>
      </c>
      <c r="I14" s="28" t="n">
        <f aca="false">IF(I13=0,0,I10*COGS!I18/I13)</f>
        <v>180.768298707178</v>
      </c>
      <c r="J14" s="28" t="n">
        <f aca="false">IF(J13=0,0,J10*COGS!J18/J13)</f>
        <v>178.050452811571</v>
      </c>
      <c r="K14" s="28" t="n">
        <f aca="false">IF(K13=0,0,K10*COGS!K18/K13)</f>
        <v>175.869200200264</v>
      </c>
      <c r="L14" s="28" t="n">
        <f aca="false">IF(L13=0,0,L10*COGS!L18/L13)</f>
        <v>174.084123403715</v>
      </c>
      <c r="M14" s="28" t="n">
        <f aca="false">IF(M13=0,0,M10*COGS!M18/M13)</f>
        <v>172.601788005504</v>
      </c>
      <c r="N14" s="28" t="n">
        <f aca="false">IF(N13=0,0,N10*COGS!N18/N13)</f>
        <v>171.356805937312</v>
      </c>
      <c r="O14" s="28" t="n">
        <f aca="false">IF(O13=0,0,O10*COGS!O18/O13)</f>
        <v>170.301617167631</v>
      </c>
      <c r="P14" s="28" t="n">
        <f aca="false">IF(P13=0,0,P10*COGS!P18/P13)</f>
        <v>169.400571364663</v>
      </c>
      <c r="Q14" s="28" t="n">
        <f aca="false">IF(Q13=0,0,Q10*COGS!Q18/Q13)</f>
        <v>168.626297682779</v>
      </c>
      <c r="R14" s="28" t="n">
        <f aca="false">IF(R13=0,0,R10*COGS!R18/R13)</f>
        <v>167.957370656697</v>
      </c>
      <c r="S14" s="28" t="n">
        <f aca="false">IF(S13=0,0,S10*COGS!S18/S13)</f>
        <v>167.376749567954</v>
      </c>
      <c r="T14" s="28" t="n">
        <f aca="false">IF(T13=0,0,T10*COGS!T18/T13)</f>
        <v>166.870700131279</v>
      </c>
      <c r="U14" s="28" t="n">
        <f aca="false">IF(U13=0,0,U10*COGS!U18/U13)</f>
        <v>166.428028405606</v>
      </c>
      <c r="V14" s="28" t="n">
        <f aca="false">IF(V13=0,0,V10*COGS!V18/V13)</f>
        <v>166.039523413886</v>
      </c>
      <c r="W14" s="28" t="n">
        <f aca="false">IF(W13=0,0,W10*COGS!W18/W13)</f>
        <v>165.697543206874</v>
      </c>
      <c r="X14" s="28" t="n">
        <f aca="false">IF(X13=0,0,X10*COGS!X18/X13)</f>
        <v>165.395701934317</v>
      </c>
      <c r="Y14" s="28" t="n">
        <f aca="false">IF(Y13=0,0,Y10*COGS!Y18/Y13)</f>
        <v>165.12862957349</v>
      </c>
      <c r="Z14" s="28" t="n">
        <f aca="false">IF(Z13=0,0,Z10*COGS!Z18/Z13)</f>
        <v>164.891784916964</v>
      </c>
      <c r="AA14" s="28" t="n">
        <f aca="false">IF(AA13=0,0,AA10*COGS!AA18/AA13)</f>
        <v>164.68130826098</v>
      </c>
      <c r="AB14" s="28" t="n">
        <f aca="false">IF(AB13=0,0,AB10*COGS!AB18/AB13)</f>
        <v>164.493904134522</v>
      </c>
      <c r="AC14" s="28" t="n">
        <f aca="false">IF(AC13=0,0,AC10*COGS!AC18/AC13)</f>
        <v>164.326747067241</v>
      </c>
      <c r="AD14" s="28" t="n">
        <f aca="false">IF(AD13=0,0,AD10*COGS!AD18/AD13)</f>
        <v>164.177405240871</v>
      </c>
      <c r="AE14" s="28" t="n">
        <f aca="false">IF(AE13=0,0,AE10*COGS!AE18/AE13)</f>
        <v>164.043778173821</v>
      </c>
      <c r="AF14" s="28" t="n">
        <f aca="false">IF(AF13=0,0,AF10*COGS!AF18/AF13)</f>
        <v>163.924045525426</v>
      </c>
      <c r="AG14" s="28" t="n">
        <f aca="false">IF(AG13=0,0,AG10*COGS!AG18/AG13)</f>
        <v>163.816624788749</v>
      </c>
      <c r="AH14" s="28" t="n">
        <f aca="false">IF(AH13=0,0,AH10*COGS!AH18/AH13)</f>
        <v>163.720136144457</v>
      </c>
      <c r="AI14" s="28" t="n">
        <f aca="false">IF(AI13=0,0,AI10*COGS!AI18/AI13)</f>
        <v>163.633373124823</v>
      </c>
      <c r="AJ14" s="28" t="n">
        <f aca="false">IF(AJ13=0,0,AJ10*COGS!AJ18/AJ13)</f>
        <v>163.555278021555</v>
      </c>
      <c r="AK14" s="28" t="n">
        <f aca="false">IF(AK13=0,0,AK10*COGS!AK18/AK13)</f>
        <v>163.484921188819</v>
      </c>
      <c r="AL14" s="28" t="n">
        <f aca="false">IF(AL13=0,0,AL10*COGS!AL18/AL13)</f>
        <v>163.421483560886</v>
      </c>
    </row>
    <row r="15" customFormat="false" ht="15" hidden="false" customHeight="false" outlineLevel="0" collapsed="false">
      <c r="B15" s="3" t="s">
        <v>211</v>
      </c>
      <c r="C15" s="34" t="n">
        <f aca="false">IF(C12=0,0,C14/C12)</f>
        <v>1.69542409632737</v>
      </c>
      <c r="D15" s="34" t="n">
        <f aca="false">IF(D12=0,0,D14/D12)</f>
        <v>1.40150796281687</v>
      </c>
      <c r="E15" s="34" t="n">
        <f aca="false">IF(E12=0,0,E14/E12)</f>
        <v>1.6618418105254</v>
      </c>
      <c r="F15" s="34" t="n">
        <f aca="false">IF(F12=0,0,F14/F12)</f>
        <v>1.73465913877534</v>
      </c>
      <c r="G15" s="34" t="n">
        <f aca="false">IF(G12=0,0,G14/G12)</f>
        <v>1.84368461911146</v>
      </c>
      <c r="H15" s="34" t="n">
        <f aca="false">IF(H12=0,0,H14/H12)</f>
        <v>1.97822693791257</v>
      </c>
      <c r="I15" s="34" t="n">
        <f aca="false">IF(I12=0,0,I14/I12)</f>
        <v>2.13494712017325</v>
      </c>
      <c r="J15" s="34" t="n">
        <f aca="false">IF(J12=0,0,J14/J12)</f>
        <v>2.31313308037768</v>
      </c>
      <c r="K15" s="34" t="n">
        <f aca="false">IF(K12=0,0,K14/K12)</f>
        <v>2.51327499715291</v>
      </c>
      <c r="L15" s="34" t="n">
        <f aca="false">IF(L12=0,0,L14/L12)</f>
        <v>2.73654171213033</v>
      </c>
      <c r="M15" s="34" t="n">
        <f aca="false">IF(M12=0,0,M14/M12)</f>
        <v>2.98456390826036</v>
      </c>
      <c r="N15" s="34" t="n">
        <f aca="false">IF(N12=0,0,N14/N12)</f>
        <v>3.25933977150264</v>
      </c>
      <c r="O15" s="34" t="n">
        <f aca="false">IF(O12=0,0,O14/O12)</f>
        <v>3.56319618613579</v>
      </c>
      <c r="P15" s="34" t="n">
        <f aca="false">IF(P12=0,0,P14/P12)</f>
        <v>3.89877810815981</v>
      </c>
      <c r="Q15" s="34" t="n">
        <f aca="false">IF(Q12=0,0,Q14/Q12)</f>
        <v>4.26905389885289</v>
      </c>
      <c r="R15" s="34" t="n">
        <f aca="false">IF(R12=0,0,R14/R12)</f>
        <v>4.6773307941037</v>
      </c>
      <c r="S15" s="34" t="n">
        <f aca="false">IF(S12=0,0,S14/S12)</f>
        <v>5.12727761872683</v>
      </c>
      <c r="T15" s="34" t="n">
        <f aca="false">IF(T12=0,0,T14/T12)</f>
        <v>5.62295330166344</v>
      </c>
      <c r="U15" s="34" t="n">
        <f aca="false">IF(U12=0,0,U14/U12)</f>
        <v>6.16884051055137</v>
      </c>
      <c r="V15" s="34" t="n">
        <f aca="false">IF(V12=0,0,V14/V12)</f>
        <v>6.76988415365434</v>
      </c>
      <c r="W15" s="34" t="n">
        <f aca="false">IF(W12=0,0,W14/W12)</f>
        <v>7.43153475685081</v>
      </c>
      <c r="X15" s="34" t="n">
        <f aca="false">IF(X12=0,0,X14/X12)</f>
        <v>8.15979689346648</v>
      </c>
      <c r="Y15" s="34" t="n">
        <f aca="false">IF(Y12=0,0,Y14/Y12)</f>
        <v>8.96128296650872</v>
      </c>
      <c r="Z15" s="34" t="n">
        <f aca="false">IF(Z12=0,0,Z14/Z12)</f>
        <v>9.84327273859919</v>
      </c>
      <c r="AA15" s="34" t="n">
        <f aca="false">IF(AA12=0,0,AA14/AA12)</f>
        <v>10.8137790871528</v>
      </c>
      <c r="AB15" s="34" t="n">
        <f aca="false">IF(AB12=0,0,AB14/AB12)</f>
        <v>11.8816205385165</v>
      </c>
      <c r="AC15" s="34" t="n">
        <f aca="false">IF(AC12=0,0,AC14/AC12)</f>
        <v>13.0565012094522</v>
      </c>
      <c r="AD15" s="34" t="n">
        <f aca="false">IF(AD12=0,0,AD14/AD12)</f>
        <v>14.3490988605557</v>
      </c>
      <c r="AE15" s="34" t="n">
        <f aca="false">IF(AE12=0,0,AE14/AE12)</f>
        <v>15.771161846077</v>
      </c>
      <c r="AF15" s="34" t="n">
        <f aca="false">IF(AF12=0,0,AF14/AF12)</f>
        <v>17.3356158297964</v>
      </c>
      <c r="AG15" s="34" t="n">
        <f aca="false">IF(AG12=0,0,AG14/AG12)</f>
        <v>19.0566812284674</v>
      </c>
      <c r="AH15" s="34" t="n">
        <f aca="false">IF(AH12=0,0,AH14/AH12)</f>
        <v>20.9500024440776</v>
      </c>
      <c r="AI15" s="34" t="n">
        <f aca="false">IF(AI12=0,0,AI14/AI12)</f>
        <v>23.0327900549766</v>
      </c>
      <c r="AJ15" s="34" t="n">
        <f aca="false">IF(AJ12=0,0,AJ14/AJ12)</f>
        <v>25.323977254922</v>
      </c>
      <c r="AK15" s="34" t="n">
        <f aca="false">IF(AK12=0,0,AK14/AK12)</f>
        <v>27.8443919595125</v>
      </c>
      <c r="AL15" s="34" t="n">
        <f aca="false">IF(AL12=0,0,AL14/AL12)</f>
        <v>30.6169461425785</v>
      </c>
    </row>
    <row r="16" customFormat="false" ht="15" hidden="false" customHeight="false" outlineLevel="0" collapsed="false">
      <c r="B16" s="3" t="s">
        <v>190</v>
      </c>
      <c r="C16" s="35" t="n">
        <f aca="false">COGS!C18</f>
        <v>0.618435061122084</v>
      </c>
      <c r="D16" s="35" t="n">
        <f aca="false">COGS!D18</f>
        <v>0.596447444188698</v>
      </c>
      <c r="E16" s="35" t="n">
        <f aca="false">COGS!E18</f>
        <v>0.68535096650891</v>
      </c>
      <c r="F16" s="35" t="n">
        <f aca="false">COGS!F18</f>
        <v>0.66631966038326</v>
      </c>
      <c r="G16" s="35" t="n">
        <f aca="false">COGS!G18</f>
        <v>0.650516070726826</v>
      </c>
      <c r="H16" s="35" t="n">
        <f aca="false">COGS!H18</f>
        <v>0.637213867979327</v>
      </c>
      <c r="I16" s="35" t="n">
        <f aca="false">COGS!I18</f>
        <v>0.625893105724605</v>
      </c>
      <c r="J16" s="35" t="n">
        <f aca="false">COGS!J18</f>
        <v>0.616171225111379</v>
      </c>
      <c r="K16" s="35" t="n">
        <f aca="false">COGS!K18</f>
        <v>0.607759991011617</v>
      </c>
      <c r="L16" s="35" t="n">
        <f aca="false">COGS!L18</f>
        <v>0.600437671983099</v>
      </c>
      <c r="M16" s="35" t="n">
        <f aca="false">COGS!M18</f>
        <v>0.594030529493162</v>
      </c>
      <c r="N16" s="35" t="n">
        <f aca="false">COGS!N18</f>
        <v>0.588400181919958</v>
      </c>
      <c r="O16" s="35" t="n">
        <f aca="false">COGS!O18</f>
        <v>0.583434783152965</v>
      </c>
      <c r="P16" s="35" t="n">
        <f aca="false">COGS!P18</f>
        <v>0.579042740650935</v>
      </c>
      <c r="Q16" s="35" t="n">
        <f aca="false">COGS!Q18</f>
        <v>0.575148161621615</v>
      </c>
      <c r="R16" s="35" t="n">
        <f aca="false">COGS!R18</f>
        <v>0.571687498313596</v>
      </c>
      <c r="S16" s="35" t="n">
        <f aca="false">COGS!S18</f>
        <v>0.568607039906253</v>
      </c>
      <c r="T16" s="35" t="n">
        <f aca="false">COGS!T18</f>
        <v>0.565861011488354</v>
      </c>
      <c r="U16" s="35" t="n">
        <f aca="false">COGS!U18</f>
        <v>0.563410114543788</v>
      </c>
      <c r="V16" s="35" t="n">
        <f aca="false">COGS!V18</f>
        <v>0.561220392676187</v>
      </c>
      <c r="W16" s="35" t="n">
        <f aca="false">COGS!W18</f>
        <v>0.559262339781607</v>
      </c>
      <c r="X16" s="35" t="n">
        <f aca="false">COGS!X18</f>
        <v>0.557510190969173</v>
      </c>
      <c r="Y16" s="35" t="n">
        <f aca="false">COGS!Y18</f>
        <v>0.555941352686189</v>
      </c>
      <c r="Z16" s="35" t="n">
        <f aca="false">COGS!Z18</f>
        <v>0.554535939956038</v>
      </c>
      <c r="AA16" s="35" t="n">
        <f aca="false">COGS!AA18</f>
        <v>0.553276396849256</v>
      </c>
      <c r="AB16" s="35" t="n">
        <f aca="false">COGS!AB18</f>
        <v>0.55214718225903</v>
      </c>
      <c r="AC16" s="35" t="n">
        <f aca="false">COGS!AC18</f>
        <v>0.551134507405545</v>
      </c>
      <c r="AD16" s="35" t="n">
        <f aca="false">COGS!AD18</f>
        <v>0.550226114705426</v>
      </c>
      <c r="AE16" s="35" t="n">
        <f aca="false">COGS!AE18</f>
        <v>0.549411090030808</v>
      </c>
      <c r="AF16" s="35" t="n">
        <f aca="false">COGS!AF18</f>
        <v>0.548679702171324</v>
      </c>
      <c r="AG16" s="35" t="n">
        <f aca="false">COGS!AG18</f>
        <v>0.548023264661143</v>
      </c>
      <c r="AH16" s="35" t="n">
        <f aca="false">COGS!AH18</f>
        <v>0.547434016156912</v>
      </c>
      <c r="AI16" s="35" t="n">
        <f aca="false">COGS!AI18</f>
        <v>0.546905016334347</v>
      </c>
      <c r="AJ16" s="35" t="n">
        <f aca="false">COGS!AJ18</f>
        <v>0.546430054872232</v>
      </c>
      <c r="AK16" s="35" t="n">
        <f aca="false">COGS!AK18</f>
        <v>0.546003571557462</v>
      </c>
      <c r="AL16" s="35" t="n">
        <f aca="false">COGS!AL18</f>
        <v>0.545620585906864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2026-07-28T03:53:17Z</dcterms:created>
  <dc:creator>openpyxl</dc:creator>
  <dc:description/>
  <dc:language>en-US</dc:language>
  <cp:lastModifiedBy/>
  <dcterms:modified xsi:type="dcterms:W3CDTF">2026-07-28T03:53:17Z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